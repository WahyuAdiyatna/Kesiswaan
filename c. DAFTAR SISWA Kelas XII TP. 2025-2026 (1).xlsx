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E680BF-F383-48DF-9023-A3057F41A30F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MPLB" sheetId="1" r:id="rId1"/>
    <sheet name="AKL" sheetId="2" r:id="rId2"/>
    <sheet name="TKJ " sheetId="6" r:id="rId3"/>
    <sheet name="-" sheetId="4" r:id="rId4"/>
  </sheet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3" i="6" l="1"/>
  <c r="M162" i="6"/>
  <c r="P156" i="6"/>
  <c r="O156" i="6"/>
  <c r="N156" i="6"/>
  <c r="R155" i="6"/>
  <c r="R154" i="6"/>
  <c r="O98" i="6"/>
  <c r="N98" i="6"/>
  <c r="M98" i="6"/>
  <c r="Q97" i="6"/>
  <c r="Q96" i="6"/>
  <c r="Q41" i="6"/>
  <c r="N41" i="6"/>
  <c r="M41" i="6"/>
  <c r="R40" i="6"/>
  <c r="R39" i="6"/>
  <c r="R41" i="6" l="1"/>
  <c r="R156" i="6"/>
  <c r="Q98" i="6"/>
  <c r="N162" i="4"/>
  <c r="S154" i="4"/>
  <c r="Q156" i="4"/>
  <c r="P156" i="4"/>
  <c r="O156" i="4"/>
  <c r="S155" i="4"/>
  <c r="S156" i="4" l="1"/>
  <c r="N95" i="1" l="1"/>
  <c r="O99" i="2"/>
  <c r="P28" i="1"/>
  <c r="M28" i="1"/>
  <c r="P92" i="2" l="1"/>
  <c r="O92" i="2"/>
  <c r="N92" i="2"/>
  <c r="M92" i="2"/>
  <c r="Q91" i="2"/>
  <c r="Q90" i="2"/>
  <c r="Q40" i="2"/>
  <c r="P89" i="1"/>
  <c r="O89" i="1"/>
  <c r="N89" i="1"/>
  <c r="R88" i="1"/>
  <c r="R87" i="1"/>
  <c r="Q27" i="1"/>
  <c r="Q26" i="1"/>
  <c r="Q92" i="2" l="1"/>
  <c r="R89" i="1"/>
  <c r="P42" i="2" l="1"/>
  <c r="Q41" i="2"/>
  <c r="S39" i="4" l="1"/>
  <c r="U163" i="4" l="1"/>
  <c r="P98" i="4" l="1"/>
  <c r="O98" i="4"/>
  <c r="N98" i="4"/>
  <c r="R97" i="4"/>
  <c r="R96" i="4"/>
  <c r="R41" i="4"/>
  <c r="O41" i="4"/>
  <c r="N41" i="4"/>
  <c r="S40" i="4"/>
  <c r="R98" i="4" l="1"/>
  <c r="S41" i="4"/>
  <c r="O42" i="2"/>
  <c r="N42" i="2"/>
  <c r="M42" i="2"/>
  <c r="O28" i="1"/>
  <c r="N28" i="1"/>
  <c r="Q42" i="2" l="1"/>
  <c r="Q28" i="1"/>
</calcChain>
</file>

<file path=xl/sharedStrings.xml><?xml version="1.0" encoding="utf-8"?>
<sst xmlns="http://schemas.openxmlformats.org/spreadsheetml/2006/main" count="809" uniqueCount="276">
  <si>
    <t>SMK YADIKA 4</t>
  </si>
  <si>
    <t>NO</t>
  </si>
  <si>
    <t>NIS</t>
  </si>
  <si>
    <t>NAMA</t>
  </si>
  <si>
    <t>J/A</t>
  </si>
  <si>
    <t>Keterangan</t>
  </si>
  <si>
    <t xml:space="preserve">DAFTAR NAMA SISWA </t>
  </si>
  <si>
    <t>Mengetahui,</t>
  </si>
  <si>
    <t>Kepala SMK Yadika 4</t>
  </si>
  <si>
    <t/>
  </si>
  <si>
    <t>I</t>
  </si>
  <si>
    <t>P</t>
  </si>
  <si>
    <t>K</t>
  </si>
  <si>
    <t>T</t>
  </si>
  <si>
    <t>L</t>
  </si>
  <si>
    <t>B</t>
  </si>
  <si>
    <t>AKL</t>
  </si>
  <si>
    <t>TKJ</t>
  </si>
  <si>
    <t>P:</t>
  </si>
  <si>
    <t>L:</t>
  </si>
  <si>
    <t>J:</t>
  </si>
  <si>
    <t>H</t>
  </si>
  <si>
    <t>Total</t>
  </si>
  <si>
    <t>MPLB</t>
  </si>
  <si>
    <t>Drs. Martin Sihaloho</t>
  </si>
  <si>
    <t>L/I</t>
  </si>
  <si>
    <t>Al Zahwa Tanaya</t>
  </si>
  <si>
    <t>P/I</t>
  </si>
  <si>
    <t>Alviana Natasa</t>
  </si>
  <si>
    <t xml:space="preserve">Alysia Arabella </t>
  </si>
  <si>
    <t>Ananda Dhea Nur Falah</t>
  </si>
  <si>
    <t>Aulia Rizky Susanti</t>
  </si>
  <si>
    <t>Caren Tahlia Rahardja</t>
  </si>
  <si>
    <t>P/P</t>
  </si>
  <si>
    <t>Cesilia Aurora</t>
  </si>
  <si>
    <t>P/B</t>
  </si>
  <si>
    <t>Christina Dorisnauli Natalia Marbun</t>
  </si>
  <si>
    <t>P/K</t>
  </si>
  <si>
    <t>Daniel Moses Longgo</t>
  </si>
  <si>
    <t>L/P</t>
  </si>
  <si>
    <t>Defina Anggita Lestari</t>
  </si>
  <si>
    <t>Diko Ramadhani</t>
  </si>
  <si>
    <t>Eka Dzulfa Syaharani</t>
  </si>
  <si>
    <t>Fitri Nuraini</t>
  </si>
  <si>
    <t>Henny Erna Wulan Gurning</t>
  </si>
  <si>
    <t>Kartika Sari Dewi</t>
  </si>
  <si>
    <t>Keyla Davina Anastasya</t>
  </si>
  <si>
    <t>Khesya Aulia Putri</t>
  </si>
  <si>
    <t>Kheysya Ivanka</t>
  </si>
  <si>
    <t>Marito Silaen</t>
  </si>
  <si>
    <t>Michelle Yemima Lolong</t>
  </si>
  <si>
    <t>Naila Rizqi Cahyani</t>
  </si>
  <si>
    <t>Natasha Laurence Budiyadji</t>
  </si>
  <si>
    <t>Rekhan Januar Kia Saputra</t>
  </si>
  <si>
    <t>Renata Christina</t>
  </si>
  <si>
    <t>Tiara Putri Wicaksono</t>
  </si>
  <si>
    <t>Vaneza Graciela Mulyadi</t>
  </si>
  <si>
    <t>Benedicta Falisia</t>
  </si>
  <si>
    <t>Cheryl Dialova Sinaga</t>
  </si>
  <si>
    <t>Christiani Aurelia Hersa</t>
  </si>
  <si>
    <t>Dwi Amelia Febriana</t>
  </si>
  <si>
    <t>Febryan Tri Pamungkas</t>
  </si>
  <si>
    <t>Mutia Khumairoh</t>
  </si>
  <si>
    <t>Ravel Julious</t>
  </si>
  <si>
    <t>Rovella Firah Carrisa</t>
  </si>
  <si>
    <t>Salsa Nabillah</t>
  </si>
  <si>
    <t>Satria Baskoro</t>
  </si>
  <si>
    <t>Siska Yuniar</t>
  </si>
  <si>
    <t>Siti Mustika Sari</t>
  </si>
  <si>
    <t>Vhellma Khairunnisa</t>
  </si>
  <si>
    <t>Yemima Nathalia</t>
  </si>
  <si>
    <t>Zahrotu Syita</t>
  </si>
  <si>
    <t>Erlin Herlina</t>
  </si>
  <si>
    <t>Agnie May Hayyu</t>
  </si>
  <si>
    <t>Anindita Putri Alzahra</t>
  </si>
  <si>
    <t>Aprilia Puji Astuti</t>
  </si>
  <si>
    <t>Aqila Alya</t>
  </si>
  <si>
    <t>Carissa Ayu Putri</t>
  </si>
  <si>
    <t>Chesia Cintabella</t>
  </si>
  <si>
    <t>Diva Navilla Sari</t>
  </si>
  <si>
    <t>Easy Basri</t>
  </si>
  <si>
    <t>Falya Alyadita</t>
  </si>
  <si>
    <t>Fahmy Aldiansyah</t>
  </si>
  <si>
    <t>Gendis Putri Adistri</t>
  </si>
  <si>
    <t>Jonathan Marcello Ibrahim</t>
  </si>
  <si>
    <t>Kelzie Jean Trifena Adriaansz Marwa</t>
  </si>
  <si>
    <t>Nadila Maharani</t>
  </si>
  <si>
    <t>Nadira</t>
  </si>
  <si>
    <t>Naila Hanifah Rizkianti</t>
  </si>
  <si>
    <t>Nessa Nurizka</t>
  </si>
  <si>
    <t>Reva Putri Ramdani</t>
  </si>
  <si>
    <t>Rivia Ardita</t>
  </si>
  <si>
    <t>Selly Anisah Putri</t>
  </si>
  <si>
    <t>Shamila Mawadah</t>
  </si>
  <si>
    <t>Shekina Glory</t>
  </si>
  <si>
    <t>Syanda Aurellia</t>
  </si>
  <si>
    <t>Yunita Sahfira</t>
  </si>
  <si>
    <t>Zaivya Nurhanifa</t>
  </si>
  <si>
    <t>Adinda Dian Cantika</t>
  </si>
  <si>
    <t>Alyssa Kamila</t>
  </si>
  <si>
    <t>Arthalitha Fanya Eliana Hutagaol</t>
  </si>
  <si>
    <t>Chika Najla Sivana</t>
  </si>
  <si>
    <t>Devista Sonya Gading</t>
  </si>
  <si>
    <t>Erlangga Mahesa Akbar</t>
  </si>
  <si>
    <t>Fiqih Kamal Hasan</t>
  </si>
  <si>
    <t>Fitri Nurul Zahra</t>
  </si>
  <si>
    <t>Gendis Putriana Kasih</t>
  </si>
  <si>
    <t>Justin Goh</t>
  </si>
  <si>
    <t>L/B</t>
  </si>
  <si>
    <t xml:space="preserve">Keysha Kiara Suyadi </t>
  </si>
  <si>
    <t>Laila Putri Pratama</t>
  </si>
  <si>
    <t>Novita Lai</t>
  </si>
  <si>
    <t>Nur Anisa Sakiyah</t>
  </si>
  <si>
    <t>Putri Nuraini Lathifah</t>
  </si>
  <si>
    <t>Queen Masahirosa Wakita</t>
  </si>
  <si>
    <t>Revina Wahyu Adriani</t>
  </si>
  <si>
    <t>Salwa Khosilah</t>
  </si>
  <si>
    <t>Akbar Ronal May Pratama</t>
  </si>
  <si>
    <t>Alfareza Richo Sambudi</t>
  </si>
  <si>
    <t>Ananda Irawan</t>
  </si>
  <si>
    <t>Ariel Wahyuda Pratama</t>
  </si>
  <si>
    <t>Aril Dwi Prabowo</t>
  </si>
  <si>
    <t>Badar Satrya Pratama</t>
  </si>
  <si>
    <t>Chandra Yusuf Rasya</t>
  </si>
  <si>
    <t>Cindyko Anugerah Hakim</t>
  </si>
  <si>
    <t>Dwi Saputra</t>
  </si>
  <si>
    <t>Forbes Tanamal</t>
  </si>
  <si>
    <t>Gervine</t>
  </si>
  <si>
    <t>Ikhram Aditya</t>
  </si>
  <si>
    <t>Justin Orlando Lala</t>
  </si>
  <si>
    <t>M. Mirza Nuvael Rabani</t>
  </si>
  <si>
    <t>Matthew William Charles</t>
  </si>
  <si>
    <t>Michael Manuel Malessy</t>
  </si>
  <si>
    <t>Muhamad Fachril Fahrizal</t>
  </si>
  <si>
    <t>Nathanael Nugraha Putra</t>
  </si>
  <si>
    <t>Otniel Miracle Wijaya</t>
  </si>
  <si>
    <t>Rayhan Surya Fadhillah</t>
  </si>
  <si>
    <t>Reinhart Melchior Sutiono</t>
  </si>
  <si>
    <t>Satrio Wicaksono</t>
  </si>
  <si>
    <t>Tian Alpiansyah</t>
  </si>
  <si>
    <t>Bima Dwiansyah Hanazar</t>
  </si>
  <si>
    <t>Byantara Anindya Nadif</t>
  </si>
  <si>
    <t>Claudio Stevenanda Kurniawan</t>
  </si>
  <si>
    <t>Darius Federico Putra Nicolai</t>
  </si>
  <si>
    <t>Dzaki Putra Dharmawan</t>
  </si>
  <si>
    <t>Endi Suhendar</t>
  </si>
  <si>
    <t>Fadila Ramzi</t>
  </si>
  <si>
    <t>Imam Muhammad Rafsanjani</t>
  </si>
  <si>
    <t>Jeremy Jordan Titaley</t>
  </si>
  <si>
    <t>Johan Velma Bintang</t>
  </si>
  <si>
    <t>Kayleigh Kauthar Katyusha</t>
  </si>
  <si>
    <t>Marvel Denniwan</t>
  </si>
  <si>
    <t>Muhamad Raditya Al-Farabi</t>
  </si>
  <si>
    <t>Muhammad Julian Rafsanjani Hasyim</t>
  </si>
  <si>
    <t>Muhammad Khadhafi</t>
  </si>
  <si>
    <t>Muhammad Raffi Ardian</t>
  </si>
  <si>
    <t>Muhammad Syalomta</t>
  </si>
  <si>
    <t>Muhammad Vikry Pratama</t>
  </si>
  <si>
    <t>Nurul Latifah</t>
  </si>
  <si>
    <t>Ragilliant Lubis</t>
  </si>
  <si>
    <t>Rahmat Dhani Tri Purnomo</t>
  </si>
  <si>
    <t>Rahmat Fitriadi</t>
  </si>
  <si>
    <t>Rashya Ibnu Hafizh</t>
  </si>
  <si>
    <t>Yohanes Setiawan</t>
  </si>
  <si>
    <t>Ahmad Rival Junior</t>
  </si>
  <si>
    <t>Angga Faturahman</t>
  </si>
  <si>
    <t>Anoka Tenios Cesar</t>
  </si>
  <si>
    <t>Davi Zulfahri</t>
  </si>
  <si>
    <t>Gabriel Franzia Benjamin</t>
  </si>
  <si>
    <t>Geraldo Imanuel Putra Saragih</t>
  </si>
  <si>
    <t>Hamka Jaki Filla</t>
  </si>
  <si>
    <t>Ifran Daniel Sinaga</t>
  </si>
  <si>
    <t>Kaori Emelyne Ariyani</t>
  </si>
  <si>
    <t>Michelle Natasha Yovanly</t>
  </si>
  <si>
    <t>Muhammad Fachdan Wibowo</t>
  </si>
  <si>
    <t>Raffi Achmad Firdaus</t>
  </si>
  <si>
    <t>Rafi Daffa Maulana</t>
  </si>
  <si>
    <t>Raul Junior Huli</t>
  </si>
  <si>
    <t>Sakka Yasa Pubbakari</t>
  </si>
  <si>
    <t>Sebastian Mario Nadjakira</t>
  </si>
  <si>
    <t>L/K</t>
  </si>
  <si>
    <t>Stefanus Andrian Prayoga</t>
  </si>
  <si>
    <t>Steven Bungaran Yehezkiel Sinambela</t>
  </si>
  <si>
    <t>Timotius Sihotang</t>
  </si>
  <si>
    <t>Wahyu Saputra</t>
  </si>
  <si>
    <t>Yoshua Raamses</t>
  </si>
  <si>
    <t>J</t>
  </si>
  <si>
    <t>Sutan Denai</t>
  </si>
  <si>
    <t>Aby Gya Alyassy</t>
  </si>
  <si>
    <t>Muhammad Cahyoing Bhumi Raranta</t>
  </si>
  <si>
    <t>Yoga Saputra</t>
  </si>
  <si>
    <t xml:space="preserve">Basyasya Kumaira </t>
  </si>
  <si>
    <t xml:space="preserve">Metta Anggraini </t>
  </si>
  <si>
    <t>Ananda Eprillia Ma'muri</t>
  </si>
  <si>
    <t>Desti Rahardiyanti</t>
  </si>
  <si>
    <t>Allaika Astavega Ibrohim</t>
  </si>
  <si>
    <t>Ananda Shabrina Maulaa</t>
  </si>
  <si>
    <t>Bunga Auragerra Maharani Putri</t>
  </si>
  <si>
    <t>Jasmine Zaidah Al-Azmi</t>
  </si>
  <si>
    <t>Salwa Alfitri</t>
  </si>
  <si>
    <t>Zahra Sendri Octafiani</t>
  </si>
  <si>
    <t>Christian M.I. Matanari</t>
  </si>
  <si>
    <t>Zefanya Caesar Oktafarian</t>
  </si>
  <si>
    <t>Rukmasyara Alphard Rabbani</t>
  </si>
  <si>
    <t>Muhammad Efrand Grandy Alvanfi</t>
  </si>
  <si>
    <t>Mohammad Ibrahim Al-Hafi</t>
  </si>
  <si>
    <t>Rasya Rifani Putra</t>
  </si>
  <si>
    <t>Kirana Mutiara Azahra</t>
  </si>
  <si>
    <t>Keisya Aprilia Audry</t>
  </si>
  <si>
    <t>Mahmud Wahyu Ramadhan</t>
  </si>
  <si>
    <t>Jessica Malva Nysa</t>
  </si>
  <si>
    <t>Muhamad Danu Kurniawan</t>
  </si>
  <si>
    <t>Deswanti Lastri Barbara Queen</t>
  </si>
  <si>
    <t>Asroful Hakim</t>
  </si>
  <si>
    <t>Christian Ringgo Jeims Wuraga</t>
  </si>
  <si>
    <t>Maria Gendis Ayu Danuputri</t>
  </si>
  <si>
    <t>Sisilia Yuni Lestari</t>
  </si>
  <si>
    <t>Kaylla Alfawwaz</t>
  </si>
  <si>
    <t>Randhat Joni Darmawan</t>
  </si>
  <si>
    <t>Fachri Aldiansyah</t>
  </si>
  <si>
    <t>Welman Yakub Parulian Sibarani</t>
  </si>
  <si>
    <t>Anthonio Giovanni Wijaya</t>
  </si>
  <si>
    <t>Mario Emmanuela Putra Satria</t>
  </si>
  <si>
    <t>Chiquita Mahardika Putriayu Priwasana</t>
  </si>
  <si>
    <t>Thalita Nathania Priyono</t>
  </si>
  <si>
    <t>Dafa Al Fikri</t>
  </si>
  <si>
    <t>TP. 2024/2025</t>
  </si>
  <si>
    <t>Wali Kelas XI TJKT 3</t>
  </si>
  <si>
    <t>Kelas : XI TJKT 3</t>
  </si>
  <si>
    <t>Wali Kelas XI TJKT 2</t>
  </si>
  <si>
    <t>Kelas : XI TJKT 2</t>
  </si>
  <si>
    <t>Yogi Putra Liyandra</t>
  </si>
  <si>
    <t>Dohar Pardamean, S.Kom</t>
  </si>
  <si>
    <t>Hadiyanti, S.Pd</t>
  </si>
  <si>
    <t>Tangerang,  …………….2024</t>
  </si>
  <si>
    <t>DAFTAR NAMA SISWA CLUB RENANG</t>
  </si>
  <si>
    <t>Kelas</t>
  </si>
  <si>
    <t>Tanggal</t>
  </si>
  <si>
    <t>Pelatih Renang</t>
  </si>
  <si>
    <t>ArminRapma, S.PAK</t>
  </si>
  <si>
    <t>Kimberly Devian Rismaulina Aritonang</t>
  </si>
  <si>
    <t>Silvia Angelida Rudangta Silaban</t>
  </si>
  <si>
    <t>Welman Syakub Parulian Sibarani</t>
  </si>
  <si>
    <t>TP. 2025/2026</t>
  </si>
  <si>
    <t>Kelas : XII MPLB 1</t>
  </si>
  <si>
    <t>Tangerang,    14 Juli 2025</t>
  </si>
  <si>
    <t>Kelas : XII MPLB 2</t>
  </si>
  <si>
    <t>Kelas : XII AKL 1</t>
  </si>
  <si>
    <t xml:space="preserve">Wali Kelas XII MPLB 1 </t>
  </si>
  <si>
    <t>Wali Kelas XII MPLB 2</t>
  </si>
  <si>
    <t xml:space="preserve">Wali Kelas XII AKL 1 </t>
  </si>
  <si>
    <t>Wali Kelas XII AKL 2</t>
  </si>
  <si>
    <t>Kelas : XII TJKT 1</t>
  </si>
  <si>
    <t>Wali Kelas XII TJKT 1</t>
  </si>
  <si>
    <t>Kelas : XII TJKT 2</t>
  </si>
  <si>
    <t>Wali Kelas XII TJKT 2</t>
  </si>
  <si>
    <t>Kelas : XII TJKT 3</t>
  </si>
  <si>
    <t>Wali Kelas XII TJKT 3</t>
  </si>
  <si>
    <t>Liana Sakdiyah, S.Kom.</t>
  </si>
  <si>
    <t>Merdi RL. Siallagan, SP., S.Pd.</t>
  </si>
  <si>
    <t>Lanny Sirait, S.Pd.</t>
  </si>
  <si>
    <t>Dewi Mustikasari, S.Pd.</t>
  </si>
  <si>
    <t>Arga Sipahutar, S.Pi.</t>
  </si>
  <si>
    <t>Venti Sriwahyuni, S.Pd.</t>
  </si>
  <si>
    <t>Muhamad Hendriyansyah</t>
  </si>
  <si>
    <t>Chiaretto Valentino Adu</t>
  </si>
  <si>
    <t>Kelas : XII AKL 2</t>
  </si>
  <si>
    <t>Risdawati, S.Pd., M.Ikom</t>
  </si>
  <si>
    <t>Partisipasi</t>
  </si>
  <si>
    <t>Tanggung jawab</t>
  </si>
  <si>
    <t>Kerjasama</t>
  </si>
  <si>
    <t>Disiplin</t>
  </si>
  <si>
    <t>Keterampilan</t>
  </si>
  <si>
    <t>Kreativitas</t>
  </si>
  <si>
    <t>Tangerang,    Desember 2025</t>
  </si>
  <si>
    <t>DAFTAR NILAI KOKURIKULER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</si>
</sst>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1"/>
      <name val="Tahoma"/>
      <family val="2"/>
    </font>
    <font>
      <sz val="10"/>
      <color theme="1"/>
      <name val="Arial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i/>
      <sz val="11"/>
      <color theme="1"/>
      <name val="Calibri"/>
      <family val="2"/>
      <scheme val="minor"/>
    </font>
    <font>
      <b/>
      <sz val="9"/>
      <name val="Tahoma"/>
      <family val="2"/>
    </font>
    <font>
      <b/>
      <sz val="9"/>
      <color theme="1"/>
      <name val="Tahoma"/>
      <family val="2"/>
    </font>
    <font>
      <sz val="11"/>
      <name val="Calibri"/>
      <family val="2"/>
      <scheme val="minor"/>
    </font>
    <font>
      <sz val="9"/>
      <name val="Tahoma"/>
      <family val="2"/>
    </font>
    <font>
      <sz val="8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0" fillId="0" borderId="7" xfId="0" applyBorder="1"/>
    <xf numFmtId="0" fontId="6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right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" fillId="0" borderId="0" xfId="0" applyFont="1"/>
    <xf numFmtId="0" fontId="12" fillId="0" borderId="0" xfId="0" applyFont="1" applyBorder="1" applyAlignment="1">
      <alignment horizontal="right"/>
    </xf>
    <xf numFmtId="0" fontId="0" fillId="0" borderId="6" xfId="0" applyBorder="1"/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4" fillId="0" borderId="4" xfId="0" quotePrefix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0" xfId="0" applyFont="1" applyBorder="1"/>
    <xf numFmtId="0" fontId="14" fillId="2" borderId="0" xfId="0" applyFont="1" applyFill="1"/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6" fillId="0" borderId="0" xfId="0" applyFont="1" applyBorder="1"/>
    <xf numFmtId="0" fontId="14" fillId="0" borderId="0" xfId="0" applyFont="1" applyBorder="1" applyAlignment="1">
      <alignment horizontal="center"/>
    </xf>
    <xf numFmtId="0" fontId="16" fillId="2" borderId="0" xfId="0" applyFont="1" applyFill="1" applyBorder="1" applyAlignment="1">
      <alignment vertical="center"/>
    </xf>
    <xf numFmtId="0" fontId="14" fillId="0" borderId="6" xfId="0" applyFont="1" applyBorder="1"/>
    <xf numFmtId="0" fontId="14" fillId="2" borderId="1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/>
    <xf numFmtId="0" fontId="14" fillId="2" borderId="1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textRotation="90" wrapText="1"/>
    </xf>
    <xf numFmtId="0" fontId="18" fillId="2" borderId="4" xfId="0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wrapText="1"/>
    </xf>
    <xf numFmtId="0" fontId="14" fillId="0" borderId="8" xfId="0" applyFont="1" applyFill="1" applyBorder="1" applyAlignment="1">
      <alignment horizontal="center" vertical="center"/>
    </xf>
    <xf numFmtId="0" fontId="16" fillId="0" borderId="1" xfId="0" applyFont="1" applyBorder="1"/>
    <xf numFmtId="0" fontId="14" fillId="0" borderId="0" xfId="0" applyFont="1" applyBorder="1" applyAlignment="1">
      <alignment horizontal="left"/>
    </xf>
    <xf numFmtId="0" fontId="16" fillId="0" borderId="8" xfId="0" applyFont="1" applyFill="1" applyBorder="1" applyAlignment="1">
      <alignment vertical="center"/>
    </xf>
    <xf numFmtId="0" fontId="16" fillId="0" borderId="10" xfId="0" applyFont="1" applyFill="1" applyBorder="1" applyAlignment="1">
      <alignment horizontal="center" vertical="center"/>
    </xf>
    <xf numFmtId="0" fontId="19" fillId="0" borderId="0" xfId="0" applyFont="1"/>
    <xf numFmtId="0" fontId="16" fillId="0" borderId="0" xfId="0" applyFont="1"/>
    <xf numFmtId="0" fontId="14" fillId="0" borderId="0" xfId="0" quotePrefix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4" borderId="0" xfId="0" applyFont="1" applyFill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5" xfId="2" xr:uid="{00000000-0005-0000-0000-000002000000}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95"/>
  <sheetViews>
    <sheetView topLeftCell="A70" zoomScaleNormal="100" workbookViewId="0">
      <selection activeCell="A55" sqref="A55:J57"/>
    </sheetView>
  </sheetViews>
  <sheetFormatPr defaultRowHeight="15.75" x14ac:dyDescent="0.25"/>
  <cols>
    <col min="1" max="1" width="5.28515625" style="71" customWidth="1"/>
    <col min="2" max="2" width="11.42578125" style="71" customWidth="1"/>
    <col min="3" max="3" width="34.7109375" style="71" customWidth="1"/>
    <col min="4" max="4" width="4.85546875" style="71" customWidth="1"/>
    <col min="5" max="10" width="5.7109375" style="71" customWidth="1"/>
    <col min="11" max="11" width="9.140625" style="71"/>
    <col min="12" max="16" width="5.7109375" style="71" customWidth="1"/>
    <col min="17" max="17" width="7" style="71" customWidth="1"/>
    <col min="18" max="18" width="9.140625" style="71"/>
    <col min="19" max="19" width="21.7109375" style="71" customWidth="1"/>
    <col min="20" max="16384" width="9.140625" style="71"/>
  </cols>
  <sheetData>
    <row r="1" spans="1:20" x14ac:dyDescent="0.25">
      <c r="A1" s="70" t="s">
        <v>275</v>
      </c>
      <c r="B1" s="70"/>
      <c r="C1" s="70"/>
      <c r="D1" s="70"/>
      <c r="E1" s="70"/>
      <c r="F1" s="70"/>
      <c r="G1" s="70"/>
      <c r="H1" s="70"/>
      <c r="I1" s="70"/>
      <c r="J1" s="70"/>
    </row>
    <row r="2" spans="1:20" x14ac:dyDescent="0.25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</row>
    <row r="3" spans="1:20" x14ac:dyDescent="0.25">
      <c r="A3" s="70" t="s">
        <v>243</v>
      </c>
      <c r="B3" s="70"/>
      <c r="C3" s="70"/>
      <c r="D3" s="70"/>
      <c r="E3" s="70"/>
      <c r="F3" s="70"/>
      <c r="G3" s="70"/>
      <c r="H3" s="70"/>
      <c r="I3" s="70"/>
      <c r="J3" s="70"/>
    </row>
    <row r="4" spans="1:20" x14ac:dyDescent="0.25">
      <c r="A4" s="72" t="s">
        <v>244</v>
      </c>
    </row>
    <row r="5" spans="1:20" ht="20.100000000000001" customHeight="1" x14ac:dyDescent="0.25">
      <c r="A5" s="122" t="s">
        <v>1</v>
      </c>
      <c r="B5" s="122" t="s">
        <v>2</v>
      </c>
      <c r="C5" s="122" t="s">
        <v>3</v>
      </c>
      <c r="D5" s="122" t="s">
        <v>4</v>
      </c>
      <c r="E5" s="123" t="s">
        <v>5</v>
      </c>
      <c r="F5" s="124"/>
      <c r="G5" s="124"/>
      <c r="H5" s="124"/>
      <c r="I5" s="124"/>
      <c r="J5" s="125"/>
    </row>
    <row r="6" spans="1:20" ht="65.099999999999994" customHeight="1" x14ac:dyDescent="0.25">
      <c r="A6" s="126"/>
      <c r="B6" s="126"/>
      <c r="C6" s="126"/>
      <c r="D6" s="126"/>
      <c r="E6" s="127" t="s">
        <v>268</v>
      </c>
      <c r="F6" s="127" t="s">
        <v>269</v>
      </c>
      <c r="G6" s="127" t="s">
        <v>270</v>
      </c>
      <c r="H6" s="127" t="s">
        <v>271</v>
      </c>
      <c r="I6" s="127" t="s">
        <v>272</v>
      </c>
      <c r="J6" s="127" t="s">
        <v>273</v>
      </c>
    </row>
    <row r="7" spans="1:20" ht="20.100000000000001" customHeight="1" x14ac:dyDescent="0.25">
      <c r="A7" s="73">
        <v>1</v>
      </c>
      <c r="B7" s="73">
        <v>41235576</v>
      </c>
      <c r="C7" s="74" t="s">
        <v>73</v>
      </c>
      <c r="D7" s="75" t="s">
        <v>27</v>
      </c>
      <c r="E7" s="76"/>
      <c r="F7" s="76"/>
      <c r="G7" s="76"/>
      <c r="H7" s="76"/>
      <c r="I7" s="76"/>
      <c r="J7" s="76"/>
      <c r="S7" s="77"/>
      <c r="T7" s="78"/>
    </row>
    <row r="8" spans="1:20" ht="20.100000000000001" customHeight="1" x14ac:dyDescent="0.25">
      <c r="A8" s="73">
        <v>2</v>
      </c>
      <c r="B8" s="73">
        <v>41235578</v>
      </c>
      <c r="C8" s="79" t="s">
        <v>74</v>
      </c>
      <c r="D8" s="80" t="s">
        <v>27</v>
      </c>
      <c r="E8" s="76"/>
      <c r="F8" s="76"/>
      <c r="G8" s="76"/>
      <c r="H8" s="76"/>
      <c r="I8" s="76"/>
      <c r="J8" s="76"/>
      <c r="S8" s="77"/>
      <c r="T8" s="78"/>
    </row>
    <row r="9" spans="1:20" ht="20.100000000000001" customHeight="1" x14ac:dyDescent="0.25">
      <c r="A9" s="73">
        <v>3</v>
      </c>
      <c r="B9" s="73">
        <v>41235579</v>
      </c>
      <c r="C9" s="81" t="s">
        <v>75</v>
      </c>
      <c r="D9" s="80" t="s">
        <v>27</v>
      </c>
      <c r="E9" s="76"/>
      <c r="F9" s="76"/>
      <c r="G9" s="76"/>
      <c r="H9" s="76"/>
      <c r="I9" s="76"/>
      <c r="J9" s="76"/>
      <c r="S9" s="82"/>
      <c r="T9" s="78"/>
    </row>
    <row r="10" spans="1:20" ht="20.100000000000001" customHeight="1" x14ac:dyDescent="0.25">
      <c r="A10" s="73">
        <v>4</v>
      </c>
      <c r="B10" s="73">
        <v>41235580</v>
      </c>
      <c r="C10" s="81" t="s">
        <v>76</v>
      </c>
      <c r="D10" s="80" t="s">
        <v>27</v>
      </c>
      <c r="E10" s="76"/>
      <c r="F10" s="76"/>
      <c r="G10" s="76"/>
      <c r="H10" s="76"/>
      <c r="I10" s="76"/>
      <c r="J10" s="76"/>
      <c r="S10" s="77"/>
      <c r="T10" s="78"/>
    </row>
    <row r="11" spans="1:20" ht="20.100000000000001" customHeight="1" x14ac:dyDescent="0.25">
      <c r="A11" s="73">
        <v>5</v>
      </c>
      <c r="B11" s="73">
        <v>41235581</v>
      </c>
      <c r="C11" s="83" t="s">
        <v>191</v>
      </c>
      <c r="D11" s="80" t="s">
        <v>27</v>
      </c>
      <c r="E11" s="76"/>
      <c r="F11" s="76"/>
      <c r="G11" s="76"/>
      <c r="H11" s="76"/>
      <c r="I11" s="76"/>
      <c r="J11" s="76"/>
      <c r="S11" s="77"/>
      <c r="T11" s="78"/>
    </row>
    <row r="12" spans="1:20" ht="20.100000000000001" customHeight="1" x14ac:dyDescent="0.25">
      <c r="A12" s="73">
        <v>6</v>
      </c>
      <c r="B12" s="73">
        <v>41235582</v>
      </c>
      <c r="C12" s="81" t="s">
        <v>77</v>
      </c>
      <c r="D12" s="80" t="s">
        <v>27</v>
      </c>
      <c r="E12" s="76"/>
      <c r="F12" s="76"/>
      <c r="G12" s="76"/>
      <c r="H12" s="76"/>
      <c r="I12" s="76"/>
      <c r="J12" s="76"/>
      <c r="S12" s="77"/>
      <c r="T12" s="78"/>
    </row>
    <row r="13" spans="1:20" ht="20.100000000000001" customHeight="1" x14ac:dyDescent="0.25">
      <c r="A13" s="73">
        <v>7</v>
      </c>
      <c r="B13" s="73">
        <v>41235583</v>
      </c>
      <c r="C13" s="81" t="s">
        <v>78</v>
      </c>
      <c r="D13" s="80" t="s">
        <v>27</v>
      </c>
      <c r="E13" s="76"/>
      <c r="F13" s="76"/>
      <c r="G13" s="76"/>
      <c r="H13" s="76"/>
      <c r="I13" s="76"/>
      <c r="J13" s="76"/>
      <c r="S13" s="77"/>
      <c r="T13" s="78"/>
    </row>
    <row r="14" spans="1:20" ht="20.100000000000001" customHeight="1" x14ac:dyDescent="0.25">
      <c r="A14" s="73">
        <v>8</v>
      </c>
      <c r="B14" s="73">
        <v>41235584</v>
      </c>
      <c r="C14" s="81" t="s">
        <v>79</v>
      </c>
      <c r="D14" s="80" t="s">
        <v>27</v>
      </c>
      <c r="E14" s="76"/>
      <c r="F14" s="76"/>
      <c r="G14" s="76"/>
      <c r="H14" s="76"/>
      <c r="I14" s="76"/>
      <c r="J14" s="76"/>
      <c r="S14" s="77"/>
      <c r="T14" s="78"/>
    </row>
    <row r="15" spans="1:20" ht="20.100000000000001" customHeight="1" x14ac:dyDescent="0.25">
      <c r="A15" s="73">
        <v>9</v>
      </c>
      <c r="B15" s="73">
        <v>41235585</v>
      </c>
      <c r="C15" s="81" t="s">
        <v>80</v>
      </c>
      <c r="D15" s="80" t="s">
        <v>27</v>
      </c>
      <c r="E15" s="76"/>
      <c r="F15" s="76"/>
      <c r="G15" s="76"/>
      <c r="H15" s="76"/>
      <c r="I15" s="76"/>
      <c r="J15" s="76"/>
      <c r="S15" s="84"/>
      <c r="T15" s="78"/>
    </row>
    <row r="16" spans="1:20" ht="20.100000000000001" customHeight="1" x14ac:dyDescent="0.25">
      <c r="A16" s="73">
        <v>10</v>
      </c>
      <c r="B16" s="73">
        <v>41235586</v>
      </c>
      <c r="C16" s="81" t="s">
        <v>81</v>
      </c>
      <c r="D16" s="80" t="s">
        <v>27</v>
      </c>
      <c r="E16" s="76"/>
      <c r="F16" s="76"/>
      <c r="G16" s="76"/>
      <c r="H16" s="76"/>
      <c r="I16" s="76"/>
      <c r="J16" s="76"/>
      <c r="S16" s="77"/>
      <c r="T16" s="78"/>
    </row>
    <row r="17" spans="1:20" ht="20.100000000000001" customHeight="1" x14ac:dyDescent="0.25">
      <c r="A17" s="73">
        <v>11</v>
      </c>
      <c r="B17" s="73">
        <v>41235587</v>
      </c>
      <c r="C17" s="81" t="s">
        <v>83</v>
      </c>
      <c r="D17" s="80" t="s">
        <v>27</v>
      </c>
      <c r="E17" s="76"/>
      <c r="F17" s="76"/>
      <c r="G17" s="76"/>
      <c r="H17" s="76"/>
      <c r="I17" s="76"/>
      <c r="J17" s="76"/>
      <c r="S17" s="85"/>
      <c r="T17" s="78"/>
    </row>
    <row r="18" spans="1:20" ht="20.100000000000001" customHeight="1" x14ac:dyDescent="0.25">
      <c r="A18" s="73">
        <v>12</v>
      </c>
      <c r="B18" s="73">
        <v>41235588</v>
      </c>
      <c r="C18" s="81" t="s">
        <v>84</v>
      </c>
      <c r="D18" s="80" t="s">
        <v>39</v>
      </c>
      <c r="E18" s="76"/>
      <c r="F18" s="76"/>
      <c r="G18" s="76"/>
      <c r="H18" s="76"/>
      <c r="I18" s="76"/>
      <c r="J18" s="76"/>
      <c r="S18" s="77"/>
      <c r="T18" s="78"/>
    </row>
    <row r="19" spans="1:20" ht="20.100000000000001" customHeight="1" x14ac:dyDescent="0.25">
      <c r="A19" s="73">
        <v>13</v>
      </c>
      <c r="B19" s="73">
        <v>41235589</v>
      </c>
      <c r="C19" s="81" t="s">
        <v>107</v>
      </c>
      <c r="D19" s="80" t="s">
        <v>108</v>
      </c>
      <c r="E19" s="76"/>
      <c r="F19" s="76"/>
      <c r="G19" s="76"/>
      <c r="H19" s="76"/>
      <c r="I19" s="76"/>
      <c r="J19" s="76"/>
      <c r="S19" s="86"/>
      <c r="T19" s="78"/>
    </row>
    <row r="20" spans="1:20" ht="20.100000000000001" customHeight="1" x14ac:dyDescent="0.25">
      <c r="A20" s="73">
        <v>14</v>
      </c>
      <c r="B20" s="73">
        <v>41235590</v>
      </c>
      <c r="C20" s="87" t="s">
        <v>85</v>
      </c>
      <c r="D20" s="80" t="s">
        <v>33</v>
      </c>
      <c r="E20" s="76"/>
      <c r="F20" s="76"/>
      <c r="G20" s="76"/>
      <c r="H20" s="76"/>
      <c r="I20" s="76"/>
      <c r="J20" s="76"/>
      <c r="S20" s="85"/>
      <c r="T20" s="78"/>
    </row>
    <row r="21" spans="1:20" ht="20.100000000000001" customHeight="1" x14ac:dyDescent="0.25">
      <c r="A21" s="73">
        <v>15</v>
      </c>
      <c r="B21" s="73">
        <v>41235591</v>
      </c>
      <c r="C21" s="81" t="s">
        <v>215</v>
      </c>
      <c r="D21" s="80" t="s">
        <v>33</v>
      </c>
      <c r="E21" s="76"/>
      <c r="F21" s="76"/>
      <c r="G21" s="76"/>
      <c r="H21" s="76"/>
      <c r="I21" s="76"/>
      <c r="J21" s="76"/>
      <c r="S21" s="84"/>
      <c r="T21" s="78"/>
    </row>
    <row r="22" spans="1:20" ht="20.100000000000001" customHeight="1" x14ac:dyDescent="0.25">
      <c r="A22" s="73">
        <v>16</v>
      </c>
      <c r="B22" s="73">
        <v>41235592</v>
      </c>
      <c r="C22" s="83" t="s">
        <v>192</v>
      </c>
      <c r="D22" s="80" t="s">
        <v>27</v>
      </c>
      <c r="E22" s="76"/>
      <c r="F22" s="76"/>
      <c r="G22" s="76"/>
      <c r="H22" s="76"/>
      <c r="I22" s="76"/>
      <c r="J22" s="76"/>
      <c r="S22" s="88"/>
      <c r="T22" s="78"/>
    </row>
    <row r="23" spans="1:20" ht="20.100000000000001" customHeight="1" x14ac:dyDescent="0.25">
      <c r="A23" s="73">
        <v>17</v>
      </c>
      <c r="B23" s="73">
        <v>41235593</v>
      </c>
      <c r="C23" s="89" t="s">
        <v>86</v>
      </c>
      <c r="D23" s="80" t="s">
        <v>27</v>
      </c>
      <c r="E23" s="76"/>
      <c r="F23" s="76"/>
      <c r="G23" s="76"/>
      <c r="H23" s="76"/>
      <c r="I23" s="76"/>
      <c r="J23" s="76"/>
      <c r="S23" s="77"/>
      <c r="T23" s="78"/>
    </row>
    <row r="24" spans="1:20" ht="20.100000000000001" customHeight="1" x14ac:dyDescent="0.25">
      <c r="A24" s="73">
        <v>18</v>
      </c>
      <c r="B24" s="73">
        <v>41235594</v>
      </c>
      <c r="C24" s="81" t="s">
        <v>87</v>
      </c>
      <c r="D24" s="90" t="s">
        <v>27</v>
      </c>
      <c r="E24" s="76"/>
      <c r="F24" s="76"/>
      <c r="G24" s="76"/>
      <c r="H24" s="76"/>
      <c r="I24" s="76"/>
      <c r="J24" s="76"/>
      <c r="S24" s="84"/>
      <c r="T24" s="78"/>
    </row>
    <row r="25" spans="1:20" ht="20.100000000000001" customHeight="1" x14ac:dyDescent="0.25">
      <c r="A25" s="73">
        <v>19</v>
      </c>
      <c r="B25" s="73">
        <v>41235595</v>
      </c>
      <c r="C25" s="89" t="s">
        <v>88</v>
      </c>
      <c r="D25" s="80" t="s">
        <v>27</v>
      </c>
      <c r="E25" s="76"/>
      <c r="F25" s="76"/>
      <c r="G25" s="76"/>
      <c r="H25" s="76"/>
      <c r="I25" s="76"/>
      <c r="J25" s="76"/>
      <c r="L25" s="91" t="s">
        <v>4</v>
      </c>
      <c r="M25" s="91" t="s">
        <v>10</v>
      </c>
      <c r="N25" s="91" t="s">
        <v>11</v>
      </c>
      <c r="O25" s="91" t="s">
        <v>12</v>
      </c>
      <c r="P25" s="92" t="s">
        <v>15</v>
      </c>
      <c r="Q25" s="91" t="s">
        <v>13</v>
      </c>
      <c r="S25" s="77"/>
      <c r="T25" s="93"/>
    </row>
    <row r="26" spans="1:20" ht="20.100000000000001" customHeight="1" x14ac:dyDescent="0.25">
      <c r="A26" s="73">
        <v>20</v>
      </c>
      <c r="B26" s="73">
        <v>41235596</v>
      </c>
      <c r="C26" s="81" t="s">
        <v>90</v>
      </c>
      <c r="D26" s="80" t="s">
        <v>27</v>
      </c>
      <c r="E26" s="76"/>
      <c r="F26" s="76"/>
      <c r="G26" s="76"/>
      <c r="H26" s="76"/>
      <c r="I26" s="76"/>
      <c r="J26" s="76"/>
      <c r="L26" s="90" t="s">
        <v>14</v>
      </c>
      <c r="M26" s="90">
        <v>1</v>
      </c>
      <c r="N26" s="90">
        <v>1</v>
      </c>
      <c r="O26" s="90"/>
      <c r="P26" s="73">
        <v>1</v>
      </c>
      <c r="Q26" s="90">
        <f>SUM(M26:P26)</f>
        <v>3</v>
      </c>
      <c r="S26" s="88"/>
      <c r="T26" s="78"/>
    </row>
    <row r="27" spans="1:20" ht="20.100000000000001" customHeight="1" x14ac:dyDescent="0.25">
      <c r="A27" s="73">
        <v>21</v>
      </c>
      <c r="B27" s="73">
        <v>41235597</v>
      </c>
      <c r="C27" s="83" t="s">
        <v>91</v>
      </c>
      <c r="D27" s="94" t="s">
        <v>27</v>
      </c>
      <c r="E27" s="76"/>
      <c r="F27" s="76"/>
      <c r="G27" s="76"/>
      <c r="H27" s="76"/>
      <c r="I27" s="76"/>
      <c r="J27" s="76"/>
      <c r="L27" s="90" t="s">
        <v>11</v>
      </c>
      <c r="M27" s="90">
        <v>22</v>
      </c>
      <c r="N27" s="90">
        <v>4</v>
      </c>
      <c r="O27" s="90"/>
      <c r="P27" s="73"/>
      <c r="Q27" s="90">
        <f>SUM(M27:P27)</f>
        <v>26</v>
      </c>
      <c r="S27" s="84"/>
      <c r="T27" s="78"/>
    </row>
    <row r="28" spans="1:20" ht="20.100000000000001" customHeight="1" x14ac:dyDescent="0.25">
      <c r="A28" s="73">
        <v>22</v>
      </c>
      <c r="B28" s="73">
        <v>41235598</v>
      </c>
      <c r="C28" s="81" t="s">
        <v>92</v>
      </c>
      <c r="D28" s="80" t="s">
        <v>27</v>
      </c>
      <c r="E28" s="76"/>
      <c r="F28" s="76"/>
      <c r="G28" s="76"/>
      <c r="H28" s="76"/>
      <c r="I28" s="76"/>
      <c r="J28" s="76"/>
      <c r="L28" s="95" t="s">
        <v>13</v>
      </c>
      <c r="M28" s="95">
        <f>SUM(M26:M27)</f>
        <v>23</v>
      </c>
      <c r="N28" s="95">
        <f t="shared" ref="N28:P28" si="0">SUM(N26:N27)</f>
        <v>5</v>
      </c>
      <c r="O28" s="95">
        <f t="shared" si="0"/>
        <v>0</v>
      </c>
      <c r="P28" s="95">
        <f t="shared" si="0"/>
        <v>1</v>
      </c>
      <c r="Q28" s="95">
        <f>SUM(Q26:Q27)</f>
        <v>29</v>
      </c>
      <c r="S28" s="84"/>
      <c r="T28" s="78"/>
    </row>
    <row r="29" spans="1:20" ht="18" customHeight="1" x14ac:dyDescent="0.25">
      <c r="A29" s="73">
        <v>23</v>
      </c>
      <c r="B29" s="73">
        <v>41235599</v>
      </c>
      <c r="C29" s="89" t="s">
        <v>93</v>
      </c>
      <c r="D29" s="80" t="s">
        <v>27</v>
      </c>
      <c r="E29" s="76"/>
      <c r="F29" s="76"/>
      <c r="G29" s="76"/>
      <c r="H29" s="76"/>
      <c r="I29" s="76"/>
      <c r="J29" s="76"/>
      <c r="S29" s="96"/>
    </row>
    <row r="30" spans="1:20" ht="18" customHeight="1" x14ac:dyDescent="0.25">
      <c r="A30" s="73">
        <v>24</v>
      </c>
      <c r="B30" s="73">
        <v>41235600</v>
      </c>
      <c r="C30" s="79" t="s">
        <v>94</v>
      </c>
      <c r="D30" s="80" t="s">
        <v>33</v>
      </c>
      <c r="E30" s="76"/>
      <c r="F30" s="76"/>
      <c r="G30" s="76"/>
      <c r="H30" s="76"/>
      <c r="I30" s="76"/>
      <c r="J30" s="76"/>
      <c r="L30" s="97"/>
    </row>
    <row r="31" spans="1:20" ht="18" customHeight="1" x14ac:dyDescent="0.25">
      <c r="A31" s="73">
        <v>25</v>
      </c>
      <c r="B31" s="73">
        <v>41235601</v>
      </c>
      <c r="C31" s="89" t="s">
        <v>216</v>
      </c>
      <c r="D31" s="80" t="s">
        <v>33</v>
      </c>
      <c r="E31" s="76"/>
      <c r="F31" s="76"/>
      <c r="G31" s="76"/>
      <c r="H31" s="76"/>
      <c r="I31" s="76"/>
      <c r="J31" s="76"/>
    </row>
    <row r="32" spans="1:20" ht="18" customHeight="1" x14ac:dyDescent="0.25">
      <c r="A32" s="73">
        <v>26</v>
      </c>
      <c r="B32" s="73">
        <v>41235602</v>
      </c>
      <c r="C32" s="81" t="s">
        <v>95</v>
      </c>
      <c r="D32" s="80" t="s">
        <v>27</v>
      </c>
      <c r="E32" s="76"/>
      <c r="F32" s="76"/>
      <c r="G32" s="76"/>
      <c r="H32" s="76"/>
      <c r="I32" s="76"/>
      <c r="J32" s="76"/>
    </row>
    <row r="33" spans="1:13" ht="18" customHeight="1" x14ac:dyDescent="0.25">
      <c r="A33" s="73">
        <v>27</v>
      </c>
      <c r="B33" s="73">
        <v>41235604</v>
      </c>
      <c r="C33" s="81" t="s">
        <v>96</v>
      </c>
      <c r="D33" s="80" t="s">
        <v>27</v>
      </c>
      <c r="E33" s="76"/>
      <c r="F33" s="76"/>
      <c r="G33" s="76"/>
      <c r="H33" s="76"/>
      <c r="I33" s="76"/>
      <c r="J33" s="76"/>
    </row>
    <row r="34" spans="1:13" ht="18" customHeight="1" x14ac:dyDescent="0.25">
      <c r="A34" s="73">
        <v>28</v>
      </c>
      <c r="B34" s="73">
        <v>41235605</v>
      </c>
      <c r="C34" s="83" t="s">
        <v>97</v>
      </c>
      <c r="D34" s="90" t="s">
        <v>27</v>
      </c>
      <c r="E34" s="76"/>
      <c r="F34" s="76"/>
      <c r="G34" s="76"/>
      <c r="H34" s="76"/>
      <c r="I34" s="76"/>
      <c r="J34" s="76"/>
    </row>
    <row r="35" spans="1:13" ht="18" customHeight="1" x14ac:dyDescent="0.25">
      <c r="A35" s="73">
        <v>29</v>
      </c>
      <c r="B35" s="73">
        <v>41235721</v>
      </c>
      <c r="C35" s="89" t="s">
        <v>139</v>
      </c>
      <c r="D35" s="98" t="s">
        <v>25</v>
      </c>
      <c r="E35" s="76"/>
      <c r="F35" s="76"/>
      <c r="G35" s="76"/>
      <c r="H35" s="76"/>
      <c r="I35" s="76"/>
      <c r="J35" s="76"/>
    </row>
    <row r="36" spans="1:13" ht="18" customHeight="1" x14ac:dyDescent="0.25">
      <c r="A36" s="73">
        <v>30</v>
      </c>
      <c r="B36" s="73">
        <v>41235794</v>
      </c>
      <c r="C36" s="99" t="s">
        <v>225</v>
      </c>
      <c r="D36" s="73" t="s">
        <v>25</v>
      </c>
      <c r="E36" s="76"/>
      <c r="F36" s="76"/>
      <c r="G36" s="76"/>
      <c r="H36" s="76"/>
      <c r="I36" s="76"/>
      <c r="J36" s="76"/>
    </row>
    <row r="37" spans="1:13" ht="18" customHeight="1" x14ac:dyDescent="0.25">
      <c r="A37" s="73"/>
      <c r="B37" s="73"/>
      <c r="C37" s="89"/>
      <c r="D37" s="98"/>
      <c r="E37" s="76"/>
      <c r="F37" s="76"/>
      <c r="G37" s="76"/>
      <c r="H37" s="76"/>
      <c r="I37" s="76"/>
      <c r="J37" s="76"/>
    </row>
    <row r="38" spans="1:13" ht="18" customHeight="1" x14ac:dyDescent="0.25">
      <c r="A38" s="100"/>
      <c r="B38" s="100"/>
      <c r="C38" s="82"/>
      <c r="D38" s="101"/>
      <c r="E38" s="96"/>
      <c r="F38" s="96"/>
      <c r="G38" s="96"/>
      <c r="H38" s="96"/>
      <c r="I38" s="96"/>
      <c r="J38" s="96"/>
      <c r="M38" s="96" t="s">
        <v>245</v>
      </c>
    </row>
    <row r="39" spans="1:13" ht="15" customHeight="1" x14ac:dyDescent="0.25">
      <c r="A39" s="103" t="s">
        <v>7</v>
      </c>
      <c r="B39" s="102"/>
      <c r="F39" s="71" t="s">
        <v>274</v>
      </c>
      <c r="M39" s="96"/>
    </row>
    <row r="40" spans="1:13" ht="15" customHeight="1" x14ac:dyDescent="0.25">
      <c r="A40" s="71" t="s">
        <v>8</v>
      </c>
      <c r="B40" s="102"/>
      <c r="F40" s="96" t="s">
        <v>248</v>
      </c>
    </row>
    <row r="41" spans="1:13" ht="15" customHeight="1" x14ac:dyDescent="0.25">
      <c r="B41" s="102"/>
      <c r="F41" s="96"/>
    </row>
    <row r="42" spans="1:13" ht="15" customHeight="1" x14ac:dyDescent="0.25">
      <c r="B42" s="104"/>
      <c r="F42" s="96"/>
    </row>
    <row r="43" spans="1:13" ht="15" customHeight="1" x14ac:dyDescent="0.25">
      <c r="B43" s="104"/>
      <c r="F43" s="96"/>
    </row>
    <row r="44" spans="1:13" ht="15" customHeight="1" x14ac:dyDescent="0.25">
      <c r="A44" s="71" t="s">
        <v>24</v>
      </c>
      <c r="F44" s="106" t="s">
        <v>258</v>
      </c>
    </row>
    <row r="45" spans="1:13" x14ac:dyDescent="0.25">
      <c r="A45" s="105"/>
    </row>
    <row r="46" spans="1:13" x14ac:dyDescent="0.25">
      <c r="A46" s="105"/>
    </row>
    <row r="47" spans="1:13" x14ac:dyDescent="0.25">
      <c r="A47" s="105"/>
    </row>
    <row r="48" spans="1:13" x14ac:dyDescent="0.25">
      <c r="A48" s="105"/>
    </row>
    <row r="49" spans="1:20" x14ac:dyDescent="0.25">
      <c r="A49" s="105"/>
    </row>
    <row r="50" spans="1:20" x14ac:dyDescent="0.25">
      <c r="A50" s="105"/>
    </row>
    <row r="51" spans="1:20" x14ac:dyDescent="0.25">
      <c r="A51" s="105"/>
      <c r="B51" s="96"/>
      <c r="G51" s="96"/>
    </row>
    <row r="52" spans="1:20" x14ac:dyDescent="0.25">
      <c r="A52" s="105"/>
      <c r="B52" s="96"/>
      <c r="G52" s="96"/>
    </row>
    <row r="53" spans="1:20" x14ac:dyDescent="0.25">
      <c r="A53" s="105"/>
      <c r="B53" s="96"/>
      <c r="G53" s="96"/>
    </row>
    <row r="54" spans="1:20" x14ac:dyDescent="0.25">
      <c r="A54" s="105"/>
      <c r="B54" s="96"/>
      <c r="G54" s="96"/>
    </row>
    <row r="55" spans="1:20" s="96" customFormat="1" ht="15" customHeight="1" x14ac:dyDescent="0.25">
      <c r="A55" s="70" t="s">
        <v>275</v>
      </c>
      <c r="B55" s="70"/>
      <c r="C55" s="70"/>
      <c r="D55" s="70"/>
      <c r="E55" s="70"/>
      <c r="F55" s="70"/>
      <c r="G55" s="70"/>
      <c r="H55" s="70"/>
      <c r="I55" s="70"/>
      <c r="J55" s="70"/>
    </row>
    <row r="56" spans="1:20" s="96" customFormat="1" ht="15" customHeight="1" x14ac:dyDescent="0.25">
      <c r="A56" s="70" t="s">
        <v>0</v>
      </c>
      <c r="B56" s="70"/>
      <c r="C56" s="70"/>
      <c r="D56" s="70"/>
      <c r="E56" s="70"/>
      <c r="F56" s="70"/>
      <c r="G56" s="70"/>
      <c r="H56" s="70"/>
      <c r="I56" s="70"/>
      <c r="J56" s="70"/>
    </row>
    <row r="57" spans="1:20" s="96" customFormat="1" ht="15" customHeight="1" x14ac:dyDescent="0.25">
      <c r="A57" s="70" t="s">
        <v>243</v>
      </c>
      <c r="B57" s="70"/>
      <c r="C57" s="70"/>
      <c r="D57" s="70"/>
      <c r="E57" s="70"/>
      <c r="F57" s="70"/>
      <c r="G57" s="70"/>
      <c r="H57" s="70"/>
      <c r="I57" s="70"/>
      <c r="J57" s="70"/>
    </row>
    <row r="58" spans="1:20" s="96" customFormat="1" x14ac:dyDescent="0.25">
      <c r="A58" s="72" t="s">
        <v>246</v>
      </c>
      <c r="B58" s="71"/>
      <c r="C58" s="71"/>
      <c r="D58" s="71"/>
      <c r="E58" s="71"/>
      <c r="F58" s="71"/>
      <c r="G58" s="71"/>
      <c r="H58" s="71"/>
      <c r="I58" s="71"/>
      <c r="J58" s="71"/>
    </row>
    <row r="59" spans="1:20" s="96" customFormat="1" ht="20.100000000000001" customHeight="1" x14ac:dyDescent="0.25">
      <c r="A59" s="122" t="s">
        <v>1</v>
      </c>
      <c r="B59" s="122" t="s">
        <v>2</v>
      </c>
      <c r="C59" s="122" t="s">
        <v>3</v>
      </c>
      <c r="D59" s="122" t="s">
        <v>4</v>
      </c>
      <c r="E59" s="123" t="s">
        <v>5</v>
      </c>
      <c r="F59" s="124"/>
      <c r="G59" s="124"/>
      <c r="H59" s="124"/>
      <c r="I59" s="124"/>
      <c r="J59" s="125"/>
    </row>
    <row r="60" spans="1:20" s="96" customFormat="1" ht="65.099999999999994" customHeight="1" x14ac:dyDescent="0.25">
      <c r="A60" s="126"/>
      <c r="B60" s="126"/>
      <c r="C60" s="126"/>
      <c r="D60" s="126"/>
      <c r="E60" s="127" t="s">
        <v>268</v>
      </c>
      <c r="F60" s="127" t="s">
        <v>269</v>
      </c>
      <c r="G60" s="127" t="s">
        <v>270</v>
      </c>
      <c r="H60" s="127" t="s">
        <v>271</v>
      </c>
      <c r="I60" s="127" t="s">
        <v>272</v>
      </c>
      <c r="J60" s="127" t="s">
        <v>273</v>
      </c>
    </row>
    <row r="61" spans="1:20" s="96" customFormat="1" ht="20.100000000000001" customHeight="1" x14ac:dyDescent="0.25">
      <c r="A61" s="73">
        <v>1</v>
      </c>
      <c r="B61" s="73">
        <v>41235606</v>
      </c>
      <c r="C61" s="81" t="s">
        <v>98</v>
      </c>
      <c r="D61" s="90" t="s">
        <v>27</v>
      </c>
      <c r="E61" s="107"/>
      <c r="F61" s="76"/>
      <c r="G61" s="76"/>
      <c r="H61" s="76"/>
      <c r="I61" s="76"/>
      <c r="J61" s="76"/>
      <c r="S61" s="86"/>
      <c r="T61" s="78"/>
    </row>
    <row r="62" spans="1:20" s="96" customFormat="1" ht="20.100000000000001" customHeight="1" x14ac:dyDescent="0.25">
      <c r="A62" s="73">
        <v>2</v>
      </c>
      <c r="B62" s="73">
        <v>41235607</v>
      </c>
      <c r="C62" s="89" t="s">
        <v>99</v>
      </c>
      <c r="D62" s="90" t="s">
        <v>27</v>
      </c>
      <c r="E62" s="107"/>
      <c r="F62" s="76"/>
      <c r="G62" s="76"/>
      <c r="H62" s="76"/>
      <c r="I62" s="76"/>
      <c r="J62" s="76"/>
      <c r="S62" s="84"/>
      <c r="T62" s="78"/>
    </row>
    <row r="63" spans="1:20" s="96" customFormat="1" ht="20.100000000000001" customHeight="1" x14ac:dyDescent="0.25">
      <c r="A63" s="73">
        <v>3</v>
      </c>
      <c r="B63" s="73">
        <v>41235608</v>
      </c>
      <c r="C63" s="108" t="s">
        <v>193</v>
      </c>
      <c r="D63" s="90" t="s">
        <v>27</v>
      </c>
      <c r="E63" s="107"/>
      <c r="F63" s="76"/>
      <c r="G63" s="76"/>
      <c r="H63" s="76"/>
      <c r="I63" s="76"/>
      <c r="J63" s="76"/>
      <c r="S63" s="84"/>
      <c r="T63" s="78"/>
    </row>
    <row r="64" spans="1:20" s="96" customFormat="1" ht="20.100000000000001" customHeight="1" x14ac:dyDescent="0.25">
      <c r="A64" s="73">
        <v>4</v>
      </c>
      <c r="B64" s="73">
        <v>41235610</v>
      </c>
      <c r="C64" s="83" t="s">
        <v>100</v>
      </c>
      <c r="D64" s="90" t="s">
        <v>37</v>
      </c>
      <c r="E64" s="107"/>
      <c r="F64" s="76"/>
      <c r="G64" s="76"/>
      <c r="H64" s="76"/>
      <c r="I64" s="76"/>
      <c r="J64" s="76"/>
      <c r="S64" s="86"/>
      <c r="T64" s="109"/>
    </row>
    <row r="65" spans="1:21" ht="20.100000000000001" customHeight="1" x14ac:dyDescent="0.25">
      <c r="A65" s="73">
        <v>5</v>
      </c>
      <c r="B65" s="73">
        <v>41235611</v>
      </c>
      <c r="C65" s="83" t="s">
        <v>101</v>
      </c>
      <c r="D65" s="90" t="s">
        <v>27</v>
      </c>
      <c r="E65" s="107"/>
      <c r="F65" s="76"/>
      <c r="G65" s="76"/>
      <c r="H65" s="76"/>
      <c r="I65" s="76"/>
      <c r="J65" s="76"/>
      <c r="S65" s="110"/>
      <c r="T65" s="111"/>
    </row>
    <row r="66" spans="1:21" ht="20.100000000000001" customHeight="1" x14ac:dyDescent="0.25">
      <c r="A66" s="73">
        <v>6</v>
      </c>
      <c r="B66" s="73">
        <v>41235612</v>
      </c>
      <c r="C66" s="81" t="s">
        <v>223</v>
      </c>
      <c r="D66" s="90" t="s">
        <v>27</v>
      </c>
      <c r="E66" s="107"/>
      <c r="F66" s="76"/>
      <c r="G66" s="76"/>
      <c r="H66" s="76"/>
      <c r="I66" s="76"/>
      <c r="J66" s="76"/>
      <c r="S66" s="84"/>
      <c r="T66" s="78"/>
    </row>
    <row r="67" spans="1:21" ht="20.100000000000001" customHeight="1" x14ac:dyDescent="0.25">
      <c r="A67" s="73">
        <v>7</v>
      </c>
      <c r="B67" s="73">
        <v>41235613</v>
      </c>
      <c r="C67" s="112" t="s">
        <v>194</v>
      </c>
      <c r="D67" s="90" t="s">
        <v>27</v>
      </c>
      <c r="E67" s="107"/>
      <c r="F67" s="76"/>
      <c r="G67" s="76"/>
      <c r="H67" s="76"/>
      <c r="I67" s="76"/>
      <c r="J67" s="76"/>
      <c r="S67" s="84"/>
      <c r="T67" s="78"/>
    </row>
    <row r="68" spans="1:21" ht="20.100000000000001" customHeight="1" x14ac:dyDescent="0.25">
      <c r="A68" s="73">
        <v>8</v>
      </c>
      <c r="B68" s="73">
        <v>41235614</v>
      </c>
      <c r="C68" s="81" t="s">
        <v>102</v>
      </c>
      <c r="D68" s="90" t="s">
        <v>27</v>
      </c>
      <c r="E68" s="107"/>
      <c r="F68" s="76"/>
      <c r="G68" s="76"/>
      <c r="H68" s="76"/>
      <c r="I68" s="76"/>
      <c r="J68" s="76"/>
      <c r="S68" s="113"/>
      <c r="T68" s="78"/>
    </row>
    <row r="69" spans="1:21" ht="20.100000000000001" customHeight="1" x14ac:dyDescent="0.25">
      <c r="A69" s="73">
        <v>9</v>
      </c>
      <c r="B69" s="73">
        <v>41235615</v>
      </c>
      <c r="C69" s="81" t="s">
        <v>103</v>
      </c>
      <c r="D69" s="90" t="s">
        <v>25</v>
      </c>
      <c r="E69" s="107"/>
      <c r="F69" s="76"/>
      <c r="G69" s="76"/>
      <c r="H69" s="76"/>
      <c r="I69" s="76"/>
      <c r="J69" s="76"/>
      <c r="S69" s="114"/>
      <c r="T69" s="115"/>
    </row>
    <row r="70" spans="1:21" ht="20.100000000000001" customHeight="1" x14ac:dyDescent="0.25">
      <c r="A70" s="73">
        <v>10</v>
      </c>
      <c r="B70" s="73">
        <v>41235616</v>
      </c>
      <c r="C70" s="81" t="s">
        <v>104</v>
      </c>
      <c r="D70" s="90" t="s">
        <v>25</v>
      </c>
      <c r="E70" s="107"/>
      <c r="F70" s="76"/>
      <c r="G70" s="76"/>
      <c r="H70" s="76"/>
      <c r="I70" s="76"/>
      <c r="J70" s="76"/>
      <c r="S70" s="86"/>
      <c r="T70" s="78"/>
    </row>
    <row r="71" spans="1:21" ht="20.100000000000001" customHeight="1" x14ac:dyDescent="0.25">
      <c r="A71" s="73">
        <v>11</v>
      </c>
      <c r="B71" s="73">
        <v>41235617</v>
      </c>
      <c r="C71" s="81" t="s">
        <v>105</v>
      </c>
      <c r="D71" s="90" t="s">
        <v>27</v>
      </c>
      <c r="E71" s="107"/>
      <c r="F71" s="76"/>
      <c r="G71" s="76"/>
      <c r="H71" s="76"/>
      <c r="I71" s="76"/>
      <c r="J71" s="76"/>
      <c r="S71" s="84"/>
      <c r="T71" s="78"/>
    </row>
    <row r="72" spans="1:21" ht="20.100000000000001" customHeight="1" x14ac:dyDescent="0.25">
      <c r="A72" s="73">
        <v>12</v>
      </c>
      <c r="B72" s="73">
        <v>41235618</v>
      </c>
      <c r="C72" s="81" t="s">
        <v>106</v>
      </c>
      <c r="D72" s="90" t="s">
        <v>27</v>
      </c>
      <c r="E72" s="107"/>
      <c r="F72" s="76"/>
      <c r="G72" s="76"/>
      <c r="H72" s="76"/>
      <c r="I72" s="76"/>
      <c r="J72" s="76"/>
      <c r="S72" s="86"/>
      <c r="T72" s="78"/>
    </row>
    <row r="73" spans="1:21" ht="20.100000000000001" customHeight="1" x14ac:dyDescent="0.25">
      <c r="A73" s="73">
        <v>13</v>
      </c>
      <c r="B73" s="73">
        <v>41235619</v>
      </c>
      <c r="C73" s="83" t="s">
        <v>208</v>
      </c>
      <c r="D73" s="90" t="s">
        <v>27</v>
      </c>
      <c r="E73" s="107"/>
      <c r="F73" s="76"/>
      <c r="G73" s="76"/>
      <c r="H73" s="76"/>
      <c r="I73" s="76"/>
      <c r="J73" s="76"/>
      <c r="S73" s="106"/>
      <c r="T73" s="78"/>
    </row>
    <row r="74" spans="1:21" ht="20.100000000000001" customHeight="1" x14ac:dyDescent="0.25">
      <c r="A74" s="73">
        <v>14</v>
      </c>
      <c r="B74" s="73">
        <v>41235620</v>
      </c>
      <c r="C74" s="81" t="s">
        <v>109</v>
      </c>
      <c r="D74" s="90" t="s">
        <v>27</v>
      </c>
      <c r="E74" s="107"/>
      <c r="F74" s="76"/>
      <c r="G74" s="76"/>
      <c r="H74" s="76"/>
      <c r="I74" s="76"/>
      <c r="J74" s="76"/>
      <c r="S74" s="116"/>
      <c r="T74" s="78"/>
    </row>
    <row r="75" spans="1:21" ht="20.100000000000001" customHeight="1" x14ac:dyDescent="0.25">
      <c r="A75" s="73">
        <v>15</v>
      </c>
      <c r="B75" s="73">
        <v>41235621</v>
      </c>
      <c r="C75" s="81" t="s">
        <v>240</v>
      </c>
      <c r="D75" s="90" t="s">
        <v>33</v>
      </c>
      <c r="E75" s="107"/>
      <c r="F75" s="76"/>
      <c r="G75" s="76"/>
      <c r="H75" s="76"/>
      <c r="I75" s="76"/>
      <c r="J75" s="76"/>
      <c r="S75" s="84"/>
      <c r="T75" s="78"/>
    </row>
    <row r="76" spans="1:21" ht="20.100000000000001" customHeight="1" x14ac:dyDescent="0.25">
      <c r="A76" s="73">
        <v>16</v>
      </c>
      <c r="B76" s="73">
        <v>41235622</v>
      </c>
      <c r="C76" s="83" t="s">
        <v>207</v>
      </c>
      <c r="D76" s="90" t="s">
        <v>27</v>
      </c>
      <c r="E76" s="107"/>
      <c r="F76" s="76"/>
      <c r="G76" s="76"/>
      <c r="H76" s="76"/>
      <c r="I76" s="76"/>
      <c r="J76" s="76"/>
      <c r="S76" s="84"/>
      <c r="T76" s="78"/>
    </row>
    <row r="77" spans="1:21" ht="20.100000000000001" customHeight="1" x14ac:dyDescent="0.25">
      <c r="A77" s="73">
        <v>17</v>
      </c>
      <c r="B77" s="73">
        <v>41235623</v>
      </c>
      <c r="C77" s="83" t="s">
        <v>110</v>
      </c>
      <c r="D77" s="90" t="s">
        <v>27</v>
      </c>
      <c r="E77" s="107"/>
      <c r="F77" s="76"/>
      <c r="G77" s="76"/>
      <c r="H77" s="76"/>
      <c r="I77" s="76"/>
      <c r="J77" s="76"/>
      <c r="S77" s="84"/>
      <c r="T77" s="78"/>
    </row>
    <row r="78" spans="1:21" ht="20.100000000000001" customHeight="1" x14ac:dyDescent="0.25">
      <c r="A78" s="73">
        <v>18</v>
      </c>
      <c r="B78" s="73">
        <v>41235625</v>
      </c>
      <c r="C78" s="81" t="s">
        <v>111</v>
      </c>
      <c r="D78" s="90" t="s">
        <v>33</v>
      </c>
      <c r="E78" s="107"/>
      <c r="F78" s="76"/>
      <c r="G78" s="76"/>
      <c r="H78" s="76"/>
      <c r="I78" s="76"/>
      <c r="J78" s="76"/>
      <c r="S78" s="84"/>
      <c r="T78" s="78"/>
    </row>
    <row r="79" spans="1:21" ht="20.100000000000001" customHeight="1" x14ac:dyDescent="0.25">
      <c r="A79" s="73">
        <v>19</v>
      </c>
      <c r="B79" s="73">
        <v>41235626</v>
      </c>
      <c r="C79" s="81" t="s">
        <v>112</v>
      </c>
      <c r="D79" s="90" t="s">
        <v>27</v>
      </c>
      <c r="E79" s="107"/>
      <c r="F79" s="76"/>
      <c r="G79" s="76"/>
      <c r="H79" s="76"/>
      <c r="I79" s="76"/>
      <c r="J79" s="76"/>
      <c r="S79" s="84"/>
      <c r="T79" s="78"/>
    </row>
    <row r="80" spans="1:21" ht="20.100000000000001" customHeight="1" x14ac:dyDescent="0.25">
      <c r="A80" s="73">
        <v>20</v>
      </c>
      <c r="B80" s="73">
        <v>41235627</v>
      </c>
      <c r="C80" s="81" t="s">
        <v>113</v>
      </c>
      <c r="D80" s="90" t="s">
        <v>27</v>
      </c>
      <c r="E80" s="107"/>
      <c r="F80" s="76"/>
      <c r="G80" s="76"/>
      <c r="H80" s="76"/>
      <c r="I80" s="76"/>
      <c r="J80" s="76"/>
      <c r="S80" s="84"/>
      <c r="T80" s="78"/>
      <c r="U80" s="78"/>
    </row>
    <row r="81" spans="1:21" ht="20.100000000000001" customHeight="1" x14ac:dyDescent="0.25">
      <c r="A81" s="73">
        <v>21</v>
      </c>
      <c r="B81" s="73">
        <v>41235628</v>
      </c>
      <c r="C81" s="81" t="s">
        <v>114</v>
      </c>
      <c r="D81" s="90" t="s">
        <v>27</v>
      </c>
      <c r="E81" s="107"/>
      <c r="F81" s="76"/>
      <c r="G81" s="76"/>
      <c r="H81" s="76"/>
      <c r="I81" s="76"/>
      <c r="J81" s="76"/>
      <c r="S81" s="84"/>
      <c r="T81" s="78"/>
      <c r="U81" s="78"/>
    </row>
    <row r="82" spans="1:21" ht="20.100000000000001" customHeight="1" x14ac:dyDescent="0.25">
      <c r="A82" s="73">
        <v>22</v>
      </c>
      <c r="B82" s="73">
        <v>41235629</v>
      </c>
      <c r="C82" s="81" t="s">
        <v>115</v>
      </c>
      <c r="D82" s="90" t="s">
        <v>33</v>
      </c>
      <c r="E82" s="107"/>
      <c r="F82" s="76"/>
      <c r="G82" s="76"/>
      <c r="H82" s="76"/>
      <c r="I82" s="76"/>
      <c r="J82" s="76"/>
      <c r="S82" s="84"/>
      <c r="T82" s="78"/>
      <c r="U82" s="78"/>
    </row>
    <row r="83" spans="1:21" ht="20.100000000000001" customHeight="1" x14ac:dyDescent="0.25">
      <c r="A83" s="73">
        <v>23</v>
      </c>
      <c r="B83" s="73">
        <v>41235630</v>
      </c>
      <c r="C83" s="81" t="s">
        <v>116</v>
      </c>
      <c r="D83" s="90" t="s">
        <v>27</v>
      </c>
      <c r="E83" s="107"/>
      <c r="F83" s="76"/>
      <c r="G83" s="76"/>
      <c r="H83" s="76"/>
      <c r="I83" s="76"/>
      <c r="J83" s="76"/>
      <c r="S83" s="86"/>
      <c r="T83" s="109"/>
      <c r="U83" s="78"/>
    </row>
    <row r="84" spans="1:21" ht="20.100000000000001" customHeight="1" x14ac:dyDescent="0.25">
      <c r="A84" s="73">
        <v>24</v>
      </c>
      <c r="B84" s="73">
        <v>41235633</v>
      </c>
      <c r="C84" s="81" t="s">
        <v>224</v>
      </c>
      <c r="D84" s="90" t="s">
        <v>33</v>
      </c>
      <c r="E84" s="107"/>
      <c r="F84" s="76"/>
      <c r="G84" s="76"/>
      <c r="H84" s="76"/>
      <c r="I84" s="76"/>
      <c r="J84" s="76"/>
    </row>
    <row r="85" spans="1:21" ht="20.100000000000001" customHeight="1" x14ac:dyDescent="0.25">
      <c r="A85" s="73">
        <v>25</v>
      </c>
      <c r="B85" s="73">
        <v>41235790</v>
      </c>
      <c r="C85" s="117" t="s">
        <v>210</v>
      </c>
      <c r="D85" s="73" t="s">
        <v>27</v>
      </c>
      <c r="E85" s="107"/>
      <c r="F85" s="76"/>
      <c r="G85" s="76"/>
      <c r="H85" s="76"/>
      <c r="I85" s="76"/>
      <c r="J85" s="76"/>
    </row>
    <row r="86" spans="1:21" x14ac:dyDescent="0.25">
      <c r="A86" s="100"/>
      <c r="B86" s="100"/>
      <c r="C86" s="86"/>
      <c r="D86" s="78"/>
      <c r="E86" s="96"/>
      <c r="F86" s="96"/>
      <c r="G86" s="96"/>
      <c r="H86" s="96"/>
      <c r="I86" s="96"/>
      <c r="J86" s="96"/>
      <c r="M86" s="91" t="s">
        <v>4</v>
      </c>
      <c r="N86" s="91" t="s">
        <v>10</v>
      </c>
      <c r="O86" s="91" t="s">
        <v>11</v>
      </c>
      <c r="P86" s="91" t="s">
        <v>12</v>
      </c>
      <c r="Q86" s="92" t="s">
        <v>15</v>
      </c>
      <c r="R86" s="91" t="s">
        <v>13</v>
      </c>
    </row>
    <row r="87" spans="1:21" x14ac:dyDescent="0.25">
      <c r="A87" s="103" t="s">
        <v>7</v>
      </c>
      <c r="B87" s="102"/>
      <c r="F87" s="71" t="s">
        <v>274</v>
      </c>
      <c r="M87" s="90" t="s">
        <v>14</v>
      </c>
      <c r="N87" s="90">
        <v>2</v>
      </c>
      <c r="O87" s="90"/>
      <c r="P87" s="90"/>
      <c r="Q87" s="118"/>
      <c r="R87" s="90">
        <f>SUM(N87:Q87)</f>
        <v>2</v>
      </c>
    </row>
    <row r="88" spans="1:21" x14ac:dyDescent="0.25">
      <c r="A88" s="71" t="s">
        <v>8</v>
      </c>
      <c r="B88" s="102"/>
      <c r="F88" s="96" t="s">
        <v>249</v>
      </c>
      <c r="M88" s="90" t="s">
        <v>11</v>
      </c>
      <c r="N88" s="90">
        <v>17</v>
      </c>
      <c r="O88" s="90">
        <v>5</v>
      </c>
      <c r="P88" s="90">
        <v>1</v>
      </c>
      <c r="Q88" s="73"/>
      <c r="R88" s="90">
        <f>SUM(N88:Q88)</f>
        <v>23</v>
      </c>
    </row>
    <row r="89" spans="1:21" x14ac:dyDescent="0.25">
      <c r="B89" s="102"/>
      <c r="F89" s="96"/>
      <c r="M89" s="95" t="s">
        <v>13</v>
      </c>
      <c r="N89" s="95">
        <f>SUM(N87:N88)</f>
        <v>19</v>
      </c>
      <c r="O89" s="95">
        <f t="shared" ref="O89:P89" si="1">SUM(O87:O88)</f>
        <v>5</v>
      </c>
      <c r="P89" s="95">
        <f t="shared" si="1"/>
        <v>1</v>
      </c>
      <c r="Q89" s="76"/>
      <c r="R89" s="95">
        <f>SUM(R87:R88)</f>
        <v>25</v>
      </c>
    </row>
    <row r="90" spans="1:21" x14ac:dyDescent="0.25">
      <c r="B90" s="104"/>
      <c r="F90" s="96"/>
    </row>
    <row r="91" spans="1:21" x14ac:dyDescent="0.25">
      <c r="B91" s="104"/>
      <c r="F91" s="96"/>
    </row>
    <row r="92" spans="1:21" x14ac:dyDescent="0.25">
      <c r="A92" s="71" t="s">
        <v>24</v>
      </c>
      <c r="F92" s="106" t="s">
        <v>259</v>
      </c>
    </row>
    <row r="93" spans="1:21" x14ac:dyDescent="0.25">
      <c r="N93" s="71">
        <v>30</v>
      </c>
    </row>
    <row r="94" spans="1:21" x14ac:dyDescent="0.25">
      <c r="N94" s="119">
        <v>25</v>
      </c>
    </row>
    <row r="95" spans="1:21" x14ac:dyDescent="0.25">
      <c r="N95" s="71">
        <f>SUM(N93:N94)</f>
        <v>55</v>
      </c>
    </row>
  </sheetData>
  <sortState ref="C8:D36">
    <sortCondition ref="C7"/>
  </sortState>
  <mergeCells count="16">
    <mergeCell ref="A55:J55"/>
    <mergeCell ref="A56:J56"/>
    <mergeCell ref="A57:J57"/>
    <mergeCell ref="A59:A60"/>
    <mergeCell ref="B59:B60"/>
    <mergeCell ref="C59:C60"/>
    <mergeCell ref="D59:D60"/>
    <mergeCell ref="E59:J59"/>
    <mergeCell ref="A1:J1"/>
    <mergeCell ref="A2:J2"/>
    <mergeCell ref="A3:J3"/>
    <mergeCell ref="A5:A6"/>
    <mergeCell ref="B5:B6"/>
    <mergeCell ref="C5:C6"/>
    <mergeCell ref="D5:D6"/>
    <mergeCell ref="E5:J5"/>
  </mergeCells>
  <conditionalFormatting sqref="C37 C35">
    <cfRule type="duplicateValues" dxfId="8" priority="8"/>
  </conditionalFormatting>
  <pageMargins left="0.62" right="0.23" top="0.48" bottom="0.75" header="0.3" footer="0.3"/>
  <pageSetup paperSize="5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99"/>
  <sheetViews>
    <sheetView topLeftCell="A43" zoomScaleNormal="100" workbookViewId="0">
      <selection activeCell="A54" sqref="A54:J56"/>
    </sheetView>
  </sheetViews>
  <sheetFormatPr defaultRowHeight="15.75" x14ac:dyDescent="0.25"/>
  <cols>
    <col min="1" max="1" width="5.140625" style="71" customWidth="1"/>
    <col min="2" max="2" width="14.42578125" style="71" customWidth="1"/>
    <col min="3" max="3" width="31.42578125" style="71" customWidth="1"/>
    <col min="4" max="4" width="5" style="71" customWidth="1"/>
    <col min="5" max="10" width="5.7109375" style="71" customWidth="1"/>
    <col min="11" max="11" width="9.140625" style="71"/>
    <col min="12" max="15" width="5.7109375" style="71" customWidth="1"/>
    <col min="16" max="16" width="5.5703125" style="71" customWidth="1"/>
    <col min="17" max="17" width="5.7109375" style="71" customWidth="1"/>
    <col min="18" max="16384" width="9.140625" style="71"/>
  </cols>
  <sheetData>
    <row r="1" spans="1:17" x14ac:dyDescent="0.25">
      <c r="A1" s="70" t="s">
        <v>275</v>
      </c>
      <c r="B1" s="70"/>
      <c r="C1" s="70"/>
      <c r="D1" s="70"/>
      <c r="E1" s="70"/>
      <c r="F1" s="70"/>
      <c r="G1" s="70"/>
      <c r="H1" s="70"/>
      <c r="I1" s="70"/>
      <c r="J1" s="70"/>
    </row>
    <row r="2" spans="1:17" x14ac:dyDescent="0.25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</row>
    <row r="3" spans="1:17" x14ac:dyDescent="0.25">
      <c r="A3" s="70" t="s">
        <v>243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x14ac:dyDescent="0.25">
      <c r="A4" s="72" t="s">
        <v>247</v>
      </c>
    </row>
    <row r="5" spans="1:17" ht="23.25" customHeight="1" x14ac:dyDescent="0.25">
      <c r="A5" s="122" t="s">
        <v>1</v>
      </c>
      <c r="B5" s="122" t="s">
        <v>2</v>
      </c>
      <c r="C5" s="122" t="s">
        <v>3</v>
      </c>
      <c r="D5" s="122" t="s">
        <v>4</v>
      </c>
      <c r="E5" s="123" t="s">
        <v>5</v>
      </c>
      <c r="F5" s="124"/>
      <c r="G5" s="124"/>
      <c r="H5" s="124"/>
      <c r="I5" s="124"/>
      <c r="J5" s="125"/>
    </row>
    <row r="6" spans="1:17" ht="65.099999999999994" customHeight="1" x14ac:dyDescent="0.25">
      <c r="A6" s="126"/>
      <c r="B6" s="126"/>
      <c r="C6" s="126"/>
      <c r="D6" s="126"/>
      <c r="E6" s="127" t="s">
        <v>268</v>
      </c>
      <c r="F6" s="127" t="s">
        <v>269</v>
      </c>
      <c r="G6" s="127" t="s">
        <v>270</v>
      </c>
      <c r="H6" s="127" t="s">
        <v>271</v>
      </c>
      <c r="I6" s="127" t="s">
        <v>272</v>
      </c>
      <c r="J6" s="127" t="s">
        <v>273</v>
      </c>
    </row>
    <row r="7" spans="1:17" ht="20.100000000000001" customHeight="1" x14ac:dyDescent="0.25">
      <c r="A7" s="121">
        <v>1</v>
      </c>
      <c r="B7" s="73">
        <v>41235635</v>
      </c>
      <c r="C7" s="89" t="s">
        <v>26</v>
      </c>
      <c r="D7" s="90" t="s">
        <v>27</v>
      </c>
      <c r="E7" s="107"/>
      <c r="F7" s="76"/>
      <c r="G7" s="76"/>
      <c r="H7" s="76"/>
      <c r="I7" s="76"/>
      <c r="J7" s="76"/>
      <c r="P7" s="128"/>
      <c r="Q7" s="129"/>
    </row>
    <row r="8" spans="1:17" ht="20.100000000000001" customHeight="1" x14ac:dyDescent="0.25">
      <c r="A8" s="121">
        <v>2</v>
      </c>
      <c r="B8" s="73">
        <v>41235636</v>
      </c>
      <c r="C8" s="81" t="s">
        <v>28</v>
      </c>
      <c r="D8" s="90" t="s">
        <v>27</v>
      </c>
      <c r="E8" s="107"/>
      <c r="F8" s="76"/>
      <c r="G8" s="76"/>
      <c r="H8" s="76"/>
      <c r="I8" s="76"/>
      <c r="J8" s="76"/>
    </row>
    <row r="9" spans="1:17" ht="20.100000000000001" customHeight="1" x14ac:dyDescent="0.25">
      <c r="A9" s="121">
        <v>3</v>
      </c>
      <c r="B9" s="73">
        <v>41235637</v>
      </c>
      <c r="C9" s="83" t="s">
        <v>29</v>
      </c>
      <c r="D9" s="90" t="s">
        <v>27</v>
      </c>
      <c r="E9" s="107"/>
      <c r="F9" s="76"/>
      <c r="G9" s="76"/>
      <c r="H9" s="76"/>
      <c r="I9" s="76"/>
      <c r="J9" s="76"/>
    </row>
    <row r="10" spans="1:17" ht="20.100000000000001" customHeight="1" x14ac:dyDescent="0.25">
      <c r="A10" s="121">
        <v>4</v>
      </c>
      <c r="B10" s="73">
        <v>41235639</v>
      </c>
      <c r="C10" s="81" t="s">
        <v>30</v>
      </c>
      <c r="D10" s="90" t="s">
        <v>27</v>
      </c>
      <c r="E10" s="107"/>
      <c r="F10" s="76"/>
      <c r="G10" s="76"/>
      <c r="H10" s="76"/>
      <c r="I10" s="76"/>
      <c r="J10" s="76"/>
    </row>
    <row r="11" spans="1:17" ht="20.100000000000001" customHeight="1" x14ac:dyDescent="0.25">
      <c r="A11" s="121">
        <v>5</v>
      </c>
      <c r="B11" s="73">
        <v>41235640</v>
      </c>
      <c r="C11" s="81" t="s">
        <v>31</v>
      </c>
      <c r="D11" s="90" t="s">
        <v>27</v>
      </c>
      <c r="E11" s="107"/>
      <c r="F11" s="76"/>
      <c r="G11" s="76"/>
      <c r="H11" s="76"/>
      <c r="I11" s="76"/>
      <c r="J11" s="76"/>
    </row>
    <row r="12" spans="1:17" ht="20.100000000000001" customHeight="1" x14ac:dyDescent="0.25">
      <c r="A12" s="121">
        <v>6</v>
      </c>
      <c r="B12" s="73">
        <v>41235641</v>
      </c>
      <c r="C12" s="79" t="s">
        <v>32</v>
      </c>
      <c r="D12" s="90" t="s">
        <v>33</v>
      </c>
      <c r="E12" s="107"/>
      <c r="F12" s="76"/>
      <c r="G12" s="76"/>
      <c r="H12" s="76"/>
      <c r="I12" s="76"/>
      <c r="J12" s="76"/>
    </row>
    <row r="13" spans="1:17" ht="20.100000000000001" customHeight="1" x14ac:dyDescent="0.25">
      <c r="A13" s="121">
        <v>7</v>
      </c>
      <c r="B13" s="73">
        <v>41235642</v>
      </c>
      <c r="C13" s="81" t="s">
        <v>34</v>
      </c>
      <c r="D13" s="90" t="s">
        <v>35</v>
      </c>
      <c r="E13" s="107"/>
      <c r="F13" s="76"/>
      <c r="G13" s="76"/>
      <c r="H13" s="76"/>
      <c r="I13" s="76"/>
      <c r="J13" s="76"/>
    </row>
    <row r="14" spans="1:17" ht="20.100000000000001" customHeight="1" x14ac:dyDescent="0.25">
      <c r="A14" s="121">
        <v>8</v>
      </c>
      <c r="B14" s="73">
        <v>41235643</v>
      </c>
      <c r="C14" s="81" t="s">
        <v>36</v>
      </c>
      <c r="D14" s="90" t="s">
        <v>37</v>
      </c>
      <c r="E14" s="107"/>
      <c r="F14" s="76"/>
      <c r="G14" s="76"/>
      <c r="H14" s="76"/>
      <c r="I14" s="76"/>
      <c r="J14" s="76"/>
    </row>
    <row r="15" spans="1:17" ht="20.100000000000001" customHeight="1" x14ac:dyDescent="0.25">
      <c r="A15" s="121">
        <v>9</v>
      </c>
      <c r="B15" s="73">
        <v>41235644</v>
      </c>
      <c r="C15" s="81" t="s">
        <v>38</v>
      </c>
      <c r="D15" s="90" t="s">
        <v>39</v>
      </c>
      <c r="E15" s="107"/>
      <c r="F15" s="76"/>
      <c r="G15" s="76"/>
      <c r="H15" s="76"/>
      <c r="I15" s="76"/>
      <c r="J15" s="76"/>
    </row>
    <row r="16" spans="1:17" ht="20.100000000000001" customHeight="1" x14ac:dyDescent="0.25">
      <c r="A16" s="121">
        <v>10</v>
      </c>
      <c r="B16" s="73">
        <v>41235645</v>
      </c>
      <c r="C16" s="89" t="s">
        <v>40</v>
      </c>
      <c r="D16" s="90" t="s">
        <v>27</v>
      </c>
      <c r="E16" s="107"/>
      <c r="F16" s="76"/>
      <c r="G16" s="76"/>
      <c r="H16" s="76"/>
      <c r="I16" s="76"/>
      <c r="J16" s="76"/>
    </row>
    <row r="17" spans="1:17" ht="20.100000000000001" customHeight="1" x14ac:dyDescent="0.25">
      <c r="A17" s="121">
        <v>11</v>
      </c>
      <c r="B17" s="73">
        <v>41235646</v>
      </c>
      <c r="C17" s="89" t="s">
        <v>212</v>
      </c>
      <c r="D17" s="90" t="s">
        <v>33</v>
      </c>
      <c r="E17" s="107"/>
      <c r="F17" s="76"/>
      <c r="G17" s="76"/>
      <c r="H17" s="76"/>
      <c r="I17" s="76"/>
      <c r="J17" s="76"/>
    </row>
    <row r="18" spans="1:17" ht="20.100000000000001" customHeight="1" x14ac:dyDescent="0.25">
      <c r="A18" s="121">
        <v>12</v>
      </c>
      <c r="B18" s="73">
        <v>41235647</v>
      </c>
      <c r="C18" s="81" t="s">
        <v>41</v>
      </c>
      <c r="D18" s="90" t="s">
        <v>25</v>
      </c>
      <c r="E18" s="107"/>
      <c r="F18" s="76"/>
      <c r="G18" s="76"/>
      <c r="H18" s="76"/>
      <c r="I18" s="76"/>
      <c r="J18" s="76"/>
    </row>
    <row r="19" spans="1:17" ht="20.100000000000001" customHeight="1" x14ac:dyDescent="0.25">
      <c r="A19" s="121">
        <v>13</v>
      </c>
      <c r="B19" s="73">
        <v>41235648</v>
      </c>
      <c r="C19" s="83" t="s">
        <v>42</v>
      </c>
      <c r="D19" s="90" t="s">
        <v>27</v>
      </c>
      <c r="E19" s="107"/>
      <c r="F19" s="76"/>
      <c r="G19" s="76"/>
      <c r="H19" s="76"/>
      <c r="I19" s="76"/>
      <c r="J19" s="76"/>
    </row>
    <row r="20" spans="1:17" ht="20.100000000000001" customHeight="1" x14ac:dyDescent="0.25">
      <c r="A20" s="121">
        <v>14</v>
      </c>
      <c r="B20" s="73">
        <v>41235650</v>
      </c>
      <c r="C20" s="81" t="s">
        <v>43</v>
      </c>
      <c r="D20" s="90" t="s">
        <v>27</v>
      </c>
      <c r="E20" s="107"/>
      <c r="F20" s="76"/>
      <c r="G20" s="76"/>
      <c r="H20" s="76"/>
      <c r="I20" s="76"/>
      <c r="J20" s="76"/>
    </row>
    <row r="21" spans="1:17" ht="20.100000000000001" customHeight="1" x14ac:dyDescent="0.25">
      <c r="A21" s="121">
        <v>15</v>
      </c>
      <c r="B21" s="73">
        <v>41235651</v>
      </c>
      <c r="C21" s="81" t="s">
        <v>44</v>
      </c>
      <c r="D21" s="90" t="s">
        <v>33</v>
      </c>
      <c r="E21" s="107"/>
      <c r="F21" s="76"/>
      <c r="G21" s="76"/>
      <c r="H21" s="76"/>
      <c r="I21" s="76"/>
      <c r="J21" s="76"/>
    </row>
    <row r="22" spans="1:17" ht="20.100000000000001" customHeight="1" x14ac:dyDescent="0.25">
      <c r="A22" s="121">
        <v>16</v>
      </c>
      <c r="B22" s="73">
        <v>41235652</v>
      </c>
      <c r="C22" s="81" t="s">
        <v>45</v>
      </c>
      <c r="D22" s="90" t="s">
        <v>27</v>
      </c>
      <c r="E22" s="107"/>
      <c r="F22" s="76"/>
      <c r="G22" s="76"/>
      <c r="H22" s="76"/>
      <c r="I22" s="76"/>
      <c r="J22" s="76"/>
    </row>
    <row r="23" spans="1:17" ht="20.100000000000001" customHeight="1" x14ac:dyDescent="0.25">
      <c r="A23" s="121">
        <v>17</v>
      </c>
      <c r="B23" s="73">
        <v>41235653</v>
      </c>
      <c r="C23" s="81" t="s">
        <v>47</v>
      </c>
      <c r="D23" s="90" t="s">
        <v>27</v>
      </c>
      <c r="E23" s="107"/>
      <c r="F23" s="76"/>
      <c r="G23" s="76"/>
      <c r="H23" s="76"/>
      <c r="I23" s="76"/>
      <c r="J23" s="76"/>
    </row>
    <row r="24" spans="1:17" ht="20.100000000000001" customHeight="1" x14ac:dyDescent="0.25">
      <c r="A24" s="121">
        <v>18</v>
      </c>
      <c r="B24" s="73">
        <v>41235654</v>
      </c>
      <c r="C24" s="81" t="s">
        <v>48</v>
      </c>
      <c r="D24" s="90" t="s">
        <v>27</v>
      </c>
      <c r="E24" s="107"/>
      <c r="F24" s="76"/>
      <c r="G24" s="76"/>
      <c r="H24" s="76"/>
      <c r="I24" s="76"/>
      <c r="J24" s="76"/>
    </row>
    <row r="25" spans="1:17" ht="20.100000000000001" customHeight="1" x14ac:dyDescent="0.25">
      <c r="A25" s="121">
        <v>19</v>
      </c>
      <c r="B25" s="73">
        <v>41235655</v>
      </c>
      <c r="C25" s="81" t="s">
        <v>49</v>
      </c>
      <c r="D25" s="90" t="s">
        <v>33</v>
      </c>
      <c r="E25" s="130"/>
      <c r="F25" s="76"/>
      <c r="G25" s="76"/>
      <c r="H25" s="76"/>
      <c r="I25" s="76"/>
      <c r="J25" s="76"/>
    </row>
    <row r="26" spans="1:17" ht="20.100000000000001" customHeight="1" x14ac:dyDescent="0.25">
      <c r="A26" s="121">
        <v>20</v>
      </c>
      <c r="B26" s="73">
        <v>41235656</v>
      </c>
      <c r="C26" s="89" t="s">
        <v>50</v>
      </c>
      <c r="D26" s="90" t="s">
        <v>33</v>
      </c>
      <c r="E26" s="107"/>
      <c r="F26" s="76"/>
      <c r="G26" s="76"/>
      <c r="H26" s="76"/>
      <c r="I26" s="76"/>
      <c r="J26" s="76"/>
    </row>
    <row r="27" spans="1:17" ht="20.100000000000001" customHeight="1" x14ac:dyDescent="0.25">
      <c r="A27" s="121">
        <v>21</v>
      </c>
      <c r="B27" s="73">
        <v>41235657</v>
      </c>
      <c r="C27" s="81" t="s">
        <v>51</v>
      </c>
      <c r="D27" s="90" t="s">
        <v>27</v>
      </c>
      <c r="E27" s="130"/>
      <c r="F27" s="76"/>
      <c r="G27" s="76"/>
      <c r="H27" s="76"/>
      <c r="I27" s="76"/>
      <c r="J27" s="76"/>
    </row>
    <row r="28" spans="1:17" ht="20.100000000000001" customHeight="1" x14ac:dyDescent="0.25">
      <c r="A28" s="121">
        <v>22</v>
      </c>
      <c r="B28" s="73">
        <v>41235658</v>
      </c>
      <c r="C28" s="81" t="s">
        <v>52</v>
      </c>
      <c r="D28" s="90" t="s">
        <v>33</v>
      </c>
      <c r="E28" s="107"/>
      <c r="F28" s="76"/>
      <c r="G28" s="76"/>
      <c r="H28" s="76"/>
      <c r="I28" s="76"/>
      <c r="J28" s="76"/>
    </row>
    <row r="29" spans="1:17" ht="20.100000000000001" customHeight="1" x14ac:dyDescent="0.25">
      <c r="A29" s="121">
        <v>23</v>
      </c>
      <c r="B29" s="73">
        <v>41235659</v>
      </c>
      <c r="C29" s="81" t="s">
        <v>53</v>
      </c>
      <c r="D29" s="90" t="s">
        <v>25</v>
      </c>
      <c r="E29" s="130"/>
      <c r="F29" s="76"/>
      <c r="G29" s="76"/>
      <c r="H29" s="76"/>
      <c r="I29" s="76"/>
      <c r="J29" s="76"/>
    </row>
    <row r="30" spans="1:17" ht="20.100000000000001" customHeight="1" x14ac:dyDescent="0.25">
      <c r="A30" s="121">
        <v>24</v>
      </c>
      <c r="B30" s="73">
        <v>41235660</v>
      </c>
      <c r="C30" s="83" t="s">
        <v>54</v>
      </c>
      <c r="D30" s="90" t="s">
        <v>33</v>
      </c>
      <c r="E30" s="107"/>
      <c r="F30" s="76"/>
      <c r="G30" s="76"/>
      <c r="H30" s="76"/>
      <c r="I30" s="76"/>
      <c r="J30" s="76"/>
      <c r="L30" s="131"/>
      <c r="M30" s="131"/>
      <c r="N30" s="131"/>
      <c r="O30" s="131"/>
      <c r="P30" s="131"/>
      <c r="Q30" s="131"/>
    </row>
    <row r="31" spans="1:17" ht="20.100000000000001" customHeight="1" x14ac:dyDescent="0.25">
      <c r="A31" s="121">
        <v>25</v>
      </c>
      <c r="B31" s="73">
        <v>41235661</v>
      </c>
      <c r="C31" s="81" t="s">
        <v>55</v>
      </c>
      <c r="D31" s="90" t="s">
        <v>27</v>
      </c>
      <c r="E31" s="107"/>
      <c r="F31" s="76"/>
      <c r="G31" s="76"/>
      <c r="H31" s="76"/>
      <c r="I31" s="76"/>
      <c r="J31" s="76"/>
      <c r="L31" s="131"/>
      <c r="M31" s="131"/>
      <c r="N31" s="131"/>
      <c r="O31" s="131"/>
      <c r="P31" s="131"/>
      <c r="Q31" s="131"/>
    </row>
    <row r="32" spans="1:17" ht="20.100000000000001" customHeight="1" x14ac:dyDescent="0.25">
      <c r="A32" s="121">
        <v>26</v>
      </c>
      <c r="B32" s="73">
        <v>41235662</v>
      </c>
      <c r="C32" s="81" t="s">
        <v>56</v>
      </c>
      <c r="D32" s="90" t="s">
        <v>33</v>
      </c>
      <c r="E32" s="130"/>
      <c r="F32" s="76"/>
      <c r="G32" s="76"/>
      <c r="H32" s="76"/>
      <c r="I32" s="76"/>
      <c r="J32" s="76"/>
      <c r="L32" s="131"/>
      <c r="M32" s="131"/>
      <c r="N32" s="131"/>
      <c r="O32" s="131"/>
      <c r="P32" s="131"/>
      <c r="Q32" s="131"/>
    </row>
    <row r="33" spans="1:17" ht="20.100000000000001" customHeight="1" x14ac:dyDescent="0.25">
      <c r="A33" s="121">
        <v>27</v>
      </c>
      <c r="B33" s="73">
        <v>41235713</v>
      </c>
      <c r="C33" s="89" t="s">
        <v>211</v>
      </c>
      <c r="D33" s="98" t="s">
        <v>25</v>
      </c>
      <c r="E33" s="107"/>
      <c r="F33" s="76"/>
      <c r="G33" s="76"/>
      <c r="H33" s="76"/>
      <c r="I33" s="76"/>
      <c r="J33" s="76"/>
      <c r="L33" s="131"/>
      <c r="M33" s="131"/>
      <c r="N33" s="131"/>
      <c r="O33" s="131"/>
      <c r="P33" s="131"/>
      <c r="Q33" s="131"/>
    </row>
    <row r="34" spans="1:17" ht="20.100000000000001" customHeight="1" x14ac:dyDescent="0.25">
      <c r="A34" s="121"/>
      <c r="B34" s="73"/>
      <c r="C34" s="108"/>
      <c r="D34" s="120"/>
      <c r="E34" s="130"/>
      <c r="F34" s="76"/>
      <c r="G34" s="76"/>
      <c r="H34" s="76"/>
      <c r="I34" s="76"/>
      <c r="J34" s="76"/>
      <c r="L34" s="131"/>
      <c r="M34" s="131"/>
      <c r="N34" s="131"/>
      <c r="O34" s="131"/>
      <c r="P34" s="131"/>
      <c r="Q34" s="131"/>
    </row>
    <row r="35" spans="1:17" ht="20.100000000000001" customHeight="1" x14ac:dyDescent="0.25">
      <c r="A35" s="121"/>
      <c r="B35" s="73"/>
      <c r="C35" s="108"/>
      <c r="D35" s="120"/>
      <c r="E35" s="76"/>
      <c r="F35" s="76"/>
      <c r="G35" s="76"/>
      <c r="H35" s="76"/>
      <c r="I35" s="76"/>
      <c r="J35" s="76"/>
      <c r="L35" s="131"/>
      <c r="M35" s="131"/>
      <c r="N35" s="131"/>
      <c r="O35" s="131"/>
      <c r="P35" s="131"/>
      <c r="Q35" s="131"/>
    </row>
    <row r="36" spans="1:17" ht="15.95" customHeight="1" x14ac:dyDescent="0.25">
      <c r="A36" s="100"/>
      <c r="C36" s="84"/>
      <c r="D36" s="78"/>
      <c r="E36" s="96"/>
      <c r="F36" s="96"/>
      <c r="G36" s="96"/>
      <c r="H36" s="96"/>
      <c r="I36" s="96"/>
      <c r="J36" s="96"/>
      <c r="L36" s="131"/>
      <c r="M36" s="131"/>
      <c r="N36" s="131"/>
      <c r="O36" s="131"/>
      <c r="P36" s="131"/>
      <c r="Q36" s="131"/>
    </row>
    <row r="37" spans="1:17" s="96" customFormat="1" ht="15" customHeight="1" x14ac:dyDescent="0.25">
      <c r="A37" s="103" t="s">
        <v>7</v>
      </c>
      <c r="B37" s="132"/>
      <c r="F37" s="71" t="s">
        <v>274</v>
      </c>
    </row>
    <row r="38" spans="1:17" s="96" customFormat="1" ht="15" customHeight="1" x14ac:dyDescent="0.25">
      <c r="A38" s="71" t="s">
        <v>8</v>
      </c>
      <c r="B38" s="132"/>
      <c r="F38" s="96" t="s">
        <v>250</v>
      </c>
    </row>
    <row r="39" spans="1:17" s="96" customFormat="1" ht="15" customHeight="1" x14ac:dyDescent="0.25">
      <c r="A39" s="71"/>
      <c r="B39" s="132"/>
      <c r="L39" s="91" t="s">
        <v>4</v>
      </c>
      <c r="M39" s="91" t="s">
        <v>10</v>
      </c>
      <c r="N39" s="91" t="s">
        <v>11</v>
      </c>
      <c r="O39" s="91" t="s">
        <v>12</v>
      </c>
      <c r="P39" s="91" t="s">
        <v>15</v>
      </c>
      <c r="Q39" s="91" t="s">
        <v>13</v>
      </c>
    </row>
    <row r="40" spans="1:17" s="96" customFormat="1" ht="15" customHeight="1" x14ac:dyDescent="0.25">
      <c r="A40" s="71"/>
      <c r="B40" s="104"/>
      <c r="L40" s="90" t="s">
        <v>14</v>
      </c>
      <c r="M40" s="90">
        <v>3</v>
      </c>
      <c r="N40" s="90">
        <v>1</v>
      </c>
      <c r="O40" s="90"/>
      <c r="P40" s="90"/>
      <c r="Q40" s="90">
        <f>SUM(M40:P40)</f>
        <v>4</v>
      </c>
    </row>
    <row r="41" spans="1:17" s="96" customFormat="1" ht="15" customHeight="1" x14ac:dyDescent="0.25">
      <c r="A41" s="71"/>
      <c r="B41" s="104"/>
      <c r="H41" s="71"/>
      <c r="I41" s="71"/>
      <c r="J41" s="71"/>
      <c r="L41" s="90" t="s">
        <v>11</v>
      </c>
      <c r="M41" s="90">
        <v>13</v>
      </c>
      <c r="N41" s="90">
        <v>8</v>
      </c>
      <c r="O41" s="90">
        <v>1</v>
      </c>
      <c r="P41" s="90">
        <v>1</v>
      </c>
      <c r="Q41" s="90">
        <f>SUM(M41:P41)</f>
        <v>23</v>
      </c>
    </row>
    <row r="42" spans="1:17" s="96" customFormat="1" ht="15" customHeight="1" x14ac:dyDescent="0.25">
      <c r="A42" s="71" t="s">
        <v>24</v>
      </c>
      <c r="B42" s="104"/>
      <c r="D42" s="103"/>
      <c r="E42" s="71"/>
      <c r="F42" s="106" t="s">
        <v>260</v>
      </c>
      <c r="L42" s="95" t="s">
        <v>13</v>
      </c>
      <c r="M42" s="95">
        <f>SUM(M40:M41)</f>
        <v>16</v>
      </c>
      <c r="N42" s="95">
        <f t="shared" ref="N42:Q42" si="0">SUM(N40:N41)</f>
        <v>9</v>
      </c>
      <c r="O42" s="95">
        <f t="shared" si="0"/>
        <v>1</v>
      </c>
      <c r="P42" s="95">
        <f t="shared" si="0"/>
        <v>1</v>
      </c>
      <c r="Q42" s="95">
        <f t="shared" si="0"/>
        <v>27</v>
      </c>
    </row>
    <row r="43" spans="1:17" s="96" customFormat="1" x14ac:dyDescent="0.25">
      <c r="A43" s="105"/>
      <c r="D43" s="71"/>
      <c r="E43" s="71"/>
      <c r="F43" s="71"/>
      <c r="L43" s="71"/>
    </row>
    <row r="44" spans="1:17" s="96" customFormat="1" x14ac:dyDescent="0.25">
      <c r="A44" s="105"/>
      <c r="D44" s="71"/>
      <c r="E44" s="71"/>
      <c r="F44" s="71"/>
    </row>
    <row r="45" spans="1:17" s="96" customFormat="1" x14ac:dyDescent="0.25">
      <c r="A45" s="105"/>
      <c r="D45" s="71"/>
      <c r="E45" s="71"/>
      <c r="F45" s="71"/>
    </row>
    <row r="46" spans="1:17" s="96" customFormat="1" x14ac:dyDescent="0.25">
      <c r="A46" s="105"/>
      <c r="D46" s="71"/>
      <c r="E46" s="71"/>
      <c r="F46" s="71"/>
    </row>
    <row r="47" spans="1:17" s="96" customFormat="1" x14ac:dyDescent="0.25">
      <c r="A47" s="105"/>
      <c r="D47" s="71"/>
      <c r="E47" s="71"/>
      <c r="F47" s="71"/>
    </row>
    <row r="48" spans="1:17" s="96" customFormat="1" x14ac:dyDescent="0.25">
      <c r="A48" s="105"/>
      <c r="C48" s="133"/>
      <c r="D48" s="100"/>
    </row>
    <row r="54" spans="1:12" x14ac:dyDescent="0.25">
      <c r="A54" s="70" t="s">
        <v>275</v>
      </c>
      <c r="B54" s="70"/>
      <c r="C54" s="70"/>
      <c r="D54" s="70"/>
      <c r="E54" s="70"/>
      <c r="F54" s="70"/>
      <c r="G54" s="70"/>
      <c r="H54" s="70"/>
      <c r="I54" s="70"/>
      <c r="J54" s="70"/>
    </row>
    <row r="55" spans="1:12" x14ac:dyDescent="0.25">
      <c r="A55" s="70" t="s">
        <v>0</v>
      </c>
      <c r="B55" s="70"/>
      <c r="C55" s="70"/>
      <c r="D55" s="70"/>
      <c r="E55" s="70"/>
      <c r="F55" s="70"/>
      <c r="G55" s="70"/>
      <c r="H55" s="70"/>
      <c r="I55" s="70"/>
      <c r="J55" s="70"/>
    </row>
    <row r="56" spans="1:12" x14ac:dyDescent="0.25">
      <c r="A56" s="70" t="s">
        <v>243</v>
      </c>
      <c r="B56" s="70"/>
      <c r="C56" s="70"/>
      <c r="D56" s="70"/>
      <c r="E56" s="70"/>
      <c r="F56" s="70"/>
      <c r="G56" s="70"/>
      <c r="H56" s="70"/>
      <c r="I56" s="70"/>
      <c r="J56" s="70"/>
    </row>
    <row r="57" spans="1:12" x14ac:dyDescent="0.25">
      <c r="A57" s="72" t="s">
        <v>266</v>
      </c>
    </row>
    <row r="58" spans="1:12" ht="18" customHeight="1" x14ac:dyDescent="0.25">
      <c r="A58" s="122" t="s">
        <v>1</v>
      </c>
      <c r="B58" s="122" t="s">
        <v>2</v>
      </c>
      <c r="C58" s="122" t="s">
        <v>3</v>
      </c>
      <c r="D58" s="122" t="s">
        <v>4</v>
      </c>
      <c r="E58" s="123" t="s">
        <v>5</v>
      </c>
      <c r="F58" s="124"/>
      <c r="G58" s="124"/>
      <c r="H58" s="124"/>
      <c r="I58" s="124"/>
      <c r="J58" s="125"/>
    </row>
    <row r="59" spans="1:12" ht="65.099999999999994" customHeight="1" x14ac:dyDescent="0.25">
      <c r="A59" s="126"/>
      <c r="B59" s="126"/>
      <c r="C59" s="126"/>
      <c r="D59" s="126"/>
      <c r="E59" s="127" t="s">
        <v>268</v>
      </c>
      <c r="F59" s="127" t="s">
        <v>269</v>
      </c>
      <c r="G59" s="127" t="s">
        <v>270</v>
      </c>
      <c r="H59" s="127" t="s">
        <v>271</v>
      </c>
      <c r="I59" s="127" t="s">
        <v>272</v>
      </c>
      <c r="J59" s="127" t="s">
        <v>273</v>
      </c>
    </row>
    <row r="60" spans="1:12" ht="20.100000000000001" customHeight="1" x14ac:dyDescent="0.25">
      <c r="A60" s="121">
        <v>1</v>
      </c>
      <c r="B60" s="73">
        <v>41235663</v>
      </c>
      <c r="C60" s="108" t="s">
        <v>195</v>
      </c>
      <c r="D60" s="90" t="s">
        <v>27</v>
      </c>
      <c r="E60" s="107"/>
      <c r="F60" s="76"/>
      <c r="G60" s="76"/>
      <c r="H60" s="76"/>
      <c r="I60" s="76"/>
      <c r="J60" s="76"/>
      <c r="L60" s="84"/>
    </row>
    <row r="61" spans="1:12" ht="20.100000000000001" customHeight="1" x14ac:dyDescent="0.25">
      <c r="A61" s="121">
        <v>2</v>
      </c>
      <c r="B61" s="73">
        <v>41235664</v>
      </c>
      <c r="C61" s="108" t="s">
        <v>196</v>
      </c>
      <c r="D61" s="90" t="s">
        <v>27</v>
      </c>
      <c r="E61" s="107"/>
      <c r="F61" s="76"/>
      <c r="G61" s="76"/>
      <c r="H61" s="76"/>
      <c r="I61" s="76"/>
      <c r="J61" s="76"/>
    </row>
    <row r="62" spans="1:12" ht="20.100000000000001" customHeight="1" x14ac:dyDescent="0.25">
      <c r="A62" s="121">
        <v>3</v>
      </c>
      <c r="B62" s="73">
        <v>41235665</v>
      </c>
      <c r="C62" s="83" t="s">
        <v>57</v>
      </c>
      <c r="D62" s="90" t="s">
        <v>37</v>
      </c>
      <c r="E62" s="107"/>
      <c r="F62" s="76"/>
      <c r="G62" s="76"/>
      <c r="H62" s="76"/>
      <c r="I62" s="76"/>
      <c r="J62" s="76"/>
    </row>
    <row r="63" spans="1:12" ht="20.100000000000001" customHeight="1" x14ac:dyDescent="0.25">
      <c r="A63" s="121">
        <v>4</v>
      </c>
      <c r="B63" s="73">
        <v>41235666</v>
      </c>
      <c r="C63" s="108" t="s">
        <v>197</v>
      </c>
      <c r="D63" s="90" t="s">
        <v>27</v>
      </c>
      <c r="E63" s="107"/>
      <c r="F63" s="76"/>
      <c r="G63" s="76"/>
      <c r="H63" s="76"/>
      <c r="I63" s="76"/>
      <c r="J63" s="76"/>
    </row>
    <row r="64" spans="1:12" ht="20.100000000000001" customHeight="1" x14ac:dyDescent="0.25">
      <c r="A64" s="121">
        <v>5</v>
      </c>
      <c r="B64" s="73">
        <v>41235667</v>
      </c>
      <c r="C64" s="83" t="s">
        <v>58</v>
      </c>
      <c r="D64" s="90" t="s">
        <v>33</v>
      </c>
      <c r="E64" s="107"/>
      <c r="F64" s="76"/>
      <c r="G64" s="76"/>
      <c r="H64" s="76"/>
      <c r="I64" s="76"/>
      <c r="J64" s="76"/>
    </row>
    <row r="65" spans="1:10" ht="20.100000000000001" customHeight="1" x14ac:dyDescent="0.25">
      <c r="A65" s="121">
        <v>6</v>
      </c>
      <c r="B65" s="73">
        <v>41235668</v>
      </c>
      <c r="C65" s="108" t="s">
        <v>59</v>
      </c>
      <c r="D65" s="90" t="s">
        <v>33</v>
      </c>
      <c r="E65" s="107"/>
      <c r="F65" s="76"/>
      <c r="G65" s="76"/>
      <c r="H65" s="76"/>
      <c r="I65" s="76"/>
      <c r="J65" s="76"/>
    </row>
    <row r="66" spans="1:10" ht="20.100000000000001" customHeight="1" x14ac:dyDescent="0.25">
      <c r="A66" s="121">
        <v>7</v>
      </c>
      <c r="B66" s="73">
        <v>41235669</v>
      </c>
      <c r="C66" s="83" t="s">
        <v>60</v>
      </c>
      <c r="D66" s="90" t="s">
        <v>27</v>
      </c>
      <c r="E66" s="107"/>
      <c r="F66" s="76"/>
      <c r="G66" s="76"/>
      <c r="H66" s="76"/>
      <c r="I66" s="76"/>
      <c r="J66" s="76"/>
    </row>
    <row r="67" spans="1:10" ht="20.100000000000001" customHeight="1" x14ac:dyDescent="0.25">
      <c r="A67" s="121">
        <v>8</v>
      </c>
      <c r="B67" s="73">
        <v>41235670</v>
      </c>
      <c r="C67" s="83" t="s">
        <v>72</v>
      </c>
      <c r="D67" s="90" t="s">
        <v>27</v>
      </c>
      <c r="E67" s="107"/>
      <c r="F67" s="76"/>
      <c r="G67" s="76"/>
      <c r="H67" s="76"/>
      <c r="I67" s="76"/>
      <c r="J67" s="76"/>
    </row>
    <row r="68" spans="1:10" ht="20.100000000000001" customHeight="1" x14ac:dyDescent="0.25">
      <c r="A68" s="121">
        <v>9</v>
      </c>
      <c r="B68" s="73">
        <v>41235671</v>
      </c>
      <c r="C68" s="81" t="s">
        <v>61</v>
      </c>
      <c r="D68" s="90" t="s">
        <v>25</v>
      </c>
      <c r="E68" s="107"/>
      <c r="F68" s="76"/>
      <c r="G68" s="76"/>
      <c r="H68" s="76"/>
      <c r="I68" s="76"/>
      <c r="J68" s="76"/>
    </row>
    <row r="69" spans="1:10" ht="20.100000000000001" customHeight="1" x14ac:dyDescent="0.25">
      <c r="A69" s="121">
        <v>10</v>
      </c>
      <c r="B69" s="73">
        <v>41235672</v>
      </c>
      <c r="C69" s="117" t="s">
        <v>198</v>
      </c>
      <c r="D69" s="90" t="s">
        <v>27</v>
      </c>
      <c r="E69" s="107"/>
      <c r="F69" s="76"/>
      <c r="G69" s="76"/>
      <c r="H69" s="76"/>
      <c r="I69" s="76"/>
      <c r="J69" s="76"/>
    </row>
    <row r="70" spans="1:10" ht="20.100000000000001" customHeight="1" x14ac:dyDescent="0.25">
      <c r="A70" s="121">
        <v>11</v>
      </c>
      <c r="B70" s="73">
        <v>41235673</v>
      </c>
      <c r="C70" s="108" t="s">
        <v>217</v>
      </c>
      <c r="D70" s="90" t="s">
        <v>27</v>
      </c>
      <c r="E70" s="107"/>
      <c r="F70" s="76"/>
      <c r="G70" s="76"/>
      <c r="H70" s="76"/>
      <c r="I70" s="76"/>
      <c r="J70" s="76"/>
    </row>
    <row r="71" spans="1:10" ht="20.100000000000001" customHeight="1" x14ac:dyDescent="0.25">
      <c r="A71" s="121">
        <v>12</v>
      </c>
      <c r="B71" s="73">
        <v>41235674</v>
      </c>
      <c r="C71" s="81" t="s">
        <v>46</v>
      </c>
      <c r="D71" s="90" t="s">
        <v>27</v>
      </c>
      <c r="E71" s="107"/>
      <c r="F71" s="76"/>
      <c r="G71" s="76"/>
      <c r="H71" s="76"/>
      <c r="I71" s="76"/>
      <c r="J71" s="76"/>
    </row>
    <row r="72" spans="1:10" ht="20.100000000000001" customHeight="1" x14ac:dyDescent="0.25">
      <c r="A72" s="121">
        <v>13</v>
      </c>
      <c r="B72" s="73">
        <v>41235675</v>
      </c>
      <c r="C72" s="83" t="s">
        <v>62</v>
      </c>
      <c r="D72" s="90" t="s">
        <v>27</v>
      </c>
      <c r="E72" s="107"/>
      <c r="F72" s="76"/>
      <c r="G72" s="76"/>
      <c r="H72" s="76"/>
      <c r="I72" s="76"/>
      <c r="J72" s="76"/>
    </row>
    <row r="73" spans="1:10" ht="20.100000000000001" customHeight="1" x14ac:dyDescent="0.25">
      <c r="A73" s="121">
        <v>14</v>
      </c>
      <c r="B73" s="73">
        <v>41235676</v>
      </c>
      <c r="C73" s="79" t="s">
        <v>89</v>
      </c>
      <c r="D73" s="90" t="s">
        <v>27</v>
      </c>
      <c r="E73" s="107"/>
      <c r="F73" s="76"/>
      <c r="G73" s="76"/>
      <c r="H73" s="76"/>
      <c r="I73" s="76"/>
      <c r="J73" s="76"/>
    </row>
    <row r="74" spans="1:10" ht="20.100000000000001" customHeight="1" x14ac:dyDescent="0.25">
      <c r="A74" s="121">
        <v>15</v>
      </c>
      <c r="B74" s="73">
        <v>41235677</v>
      </c>
      <c r="C74" s="83" t="s">
        <v>63</v>
      </c>
      <c r="D74" s="90" t="s">
        <v>39</v>
      </c>
      <c r="E74" s="107"/>
      <c r="F74" s="76"/>
      <c r="G74" s="76"/>
      <c r="H74" s="76"/>
      <c r="I74" s="76"/>
      <c r="J74" s="76"/>
    </row>
    <row r="75" spans="1:10" ht="20.100000000000001" customHeight="1" x14ac:dyDescent="0.25">
      <c r="A75" s="121">
        <v>16</v>
      </c>
      <c r="B75" s="73">
        <v>41235678</v>
      </c>
      <c r="C75" s="83" t="s">
        <v>64</v>
      </c>
      <c r="D75" s="90" t="s">
        <v>27</v>
      </c>
      <c r="E75" s="107"/>
      <c r="F75" s="76"/>
      <c r="G75" s="76"/>
      <c r="H75" s="76"/>
      <c r="I75" s="76"/>
      <c r="J75" s="76"/>
    </row>
    <row r="76" spans="1:10" ht="20.100000000000001" customHeight="1" x14ac:dyDescent="0.25">
      <c r="A76" s="121">
        <v>17</v>
      </c>
      <c r="B76" s="73">
        <v>41235679</v>
      </c>
      <c r="C76" s="81" t="s">
        <v>65</v>
      </c>
      <c r="D76" s="90" t="s">
        <v>27</v>
      </c>
      <c r="E76" s="107"/>
      <c r="F76" s="76"/>
      <c r="G76" s="76"/>
      <c r="H76" s="76"/>
      <c r="I76" s="76"/>
      <c r="J76" s="76"/>
    </row>
    <row r="77" spans="1:10" ht="20.100000000000001" customHeight="1" x14ac:dyDescent="0.25">
      <c r="A77" s="121">
        <v>18</v>
      </c>
      <c r="B77" s="73">
        <v>41235680</v>
      </c>
      <c r="C77" s="108" t="s">
        <v>199</v>
      </c>
      <c r="D77" s="90" t="s">
        <v>27</v>
      </c>
      <c r="E77" s="107"/>
      <c r="F77" s="76"/>
      <c r="G77" s="76"/>
      <c r="H77" s="76"/>
      <c r="I77" s="76"/>
      <c r="J77" s="76"/>
    </row>
    <row r="78" spans="1:10" ht="20.100000000000001" customHeight="1" x14ac:dyDescent="0.25">
      <c r="A78" s="121">
        <v>19</v>
      </c>
      <c r="B78" s="73">
        <v>41235681</v>
      </c>
      <c r="C78" s="83" t="s">
        <v>66</v>
      </c>
      <c r="D78" s="90" t="s">
        <v>25</v>
      </c>
      <c r="E78" s="107"/>
      <c r="F78" s="76"/>
      <c r="G78" s="76"/>
      <c r="H78" s="76"/>
      <c r="I78" s="76"/>
      <c r="J78" s="76"/>
    </row>
    <row r="79" spans="1:10" ht="20.100000000000001" customHeight="1" x14ac:dyDescent="0.25">
      <c r="A79" s="121">
        <v>20</v>
      </c>
      <c r="B79" s="73">
        <v>41235682</v>
      </c>
      <c r="C79" s="83" t="s">
        <v>241</v>
      </c>
      <c r="D79" s="90" t="s">
        <v>37</v>
      </c>
      <c r="E79" s="130"/>
      <c r="F79" s="76"/>
      <c r="G79" s="76"/>
      <c r="H79" s="76"/>
      <c r="I79" s="76"/>
      <c r="J79" s="76"/>
    </row>
    <row r="80" spans="1:10" ht="20.100000000000001" customHeight="1" x14ac:dyDescent="0.25">
      <c r="A80" s="121">
        <v>21</v>
      </c>
      <c r="B80" s="73">
        <v>41235683</v>
      </c>
      <c r="C80" s="83" t="s">
        <v>67</v>
      </c>
      <c r="D80" s="90" t="s">
        <v>27</v>
      </c>
      <c r="E80" s="107"/>
      <c r="F80" s="76"/>
      <c r="G80" s="76"/>
      <c r="H80" s="76"/>
      <c r="I80" s="76"/>
      <c r="J80" s="76"/>
    </row>
    <row r="81" spans="1:17" ht="20.100000000000001" customHeight="1" x14ac:dyDescent="0.25">
      <c r="A81" s="121">
        <v>22</v>
      </c>
      <c r="B81" s="73">
        <v>41235684</v>
      </c>
      <c r="C81" s="81" t="s">
        <v>68</v>
      </c>
      <c r="D81" s="90" t="s">
        <v>27</v>
      </c>
      <c r="E81" s="130"/>
      <c r="F81" s="76"/>
      <c r="G81" s="76"/>
      <c r="H81" s="76"/>
      <c r="I81" s="76"/>
      <c r="J81" s="76"/>
    </row>
    <row r="82" spans="1:17" ht="20.100000000000001" customHeight="1" x14ac:dyDescent="0.25">
      <c r="A82" s="121">
        <v>23</v>
      </c>
      <c r="B82" s="73">
        <v>41235685</v>
      </c>
      <c r="C82" s="81" t="s">
        <v>69</v>
      </c>
      <c r="D82" s="90" t="s">
        <v>27</v>
      </c>
      <c r="E82" s="107"/>
      <c r="F82" s="76"/>
      <c r="G82" s="76"/>
      <c r="H82" s="76"/>
      <c r="I82" s="76"/>
      <c r="J82" s="76"/>
    </row>
    <row r="83" spans="1:17" ht="20.100000000000001" customHeight="1" x14ac:dyDescent="0.25">
      <c r="A83" s="121">
        <v>24</v>
      </c>
      <c r="B83" s="73">
        <v>41235687</v>
      </c>
      <c r="C83" s="79" t="s">
        <v>70</v>
      </c>
      <c r="D83" s="90" t="s">
        <v>33</v>
      </c>
      <c r="E83" s="107"/>
      <c r="F83" s="76"/>
      <c r="G83" s="76"/>
      <c r="H83" s="76"/>
      <c r="I83" s="76"/>
      <c r="J83" s="76"/>
    </row>
    <row r="84" spans="1:17" ht="20.100000000000001" customHeight="1" x14ac:dyDescent="0.25">
      <c r="A84" s="121">
        <v>25</v>
      </c>
      <c r="B84" s="73">
        <v>41235688</v>
      </c>
      <c r="C84" s="83" t="s">
        <v>190</v>
      </c>
      <c r="D84" s="90" t="s">
        <v>25</v>
      </c>
      <c r="E84" s="107"/>
      <c r="F84" s="76"/>
      <c r="G84" s="76"/>
      <c r="H84" s="76"/>
      <c r="I84" s="76"/>
      <c r="J84" s="76"/>
    </row>
    <row r="85" spans="1:17" ht="20.100000000000001" customHeight="1" x14ac:dyDescent="0.25">
      <c r="A85" s="121">
        <v>26</v>
      </c>
      <c r="B85" s="73">
        <v>41235689</v>
      </c>
      <c r="C85" s="83" t="s">
        <v>200</v>
      </c>
      <c r="D85" s="90" t="s">
        <v>27</v>
      </c>
      <c r="E85" s="130"/>
      <c r="F85" s="76"/>
      <c r="G85" s="76"/>
      <c r="H85" s="76"/>
      <c r="I85" s="76"/>
      <c r="J85" s="76"/>
    </row>
    <row r="86" spans="1:17" ht="22.5" customHeight="1" x14ac:dyDescent="0.25">
      <c r="A86" s="121">
        <v>27</v>
      </c>
      <c r="B86" s="73">
        <v>41235690</v>
      </c>
      <c r="C86" s="89" t="s">
        <v>71</v>
      </c>
      <c r="D86" s="134" t="s">
        <v>27</v>
      </c>
      <c r="E86" s="135"/>
      <c r="F86" s="76"/>
      <c r="G86" s="76"/>
      <c r="H86" s="76"/>
      <c r="I86" s="76"/>
      <c r="J86" s="76"/>
    </row>
    <row r="87" spans="1:17" ht="22.5" customHeight="1" x14ac:dyDescent="0.25">
      <c r="A87" s="121">
        <v>28</v>
      </c>
      <c r="B87" s="73">
        <v>41235712</v>
      </c>
      <c r="C87" s="89" t="s">
        <v>152</v>
      </c>
      <c r="D87" s="98" t="s">
        <v>25</v>
      </c>
      <c r="E87" s="135"/>
      <c r="F87" s="76"/>
      <c r="G87" s="76"/>
      <c r="H87" s="76"/>
      <c r="I87" s="76"/>
      <c r="J87" s="76"/>
    </row>
    <row r="88" spans="1:17" x14ac:dyDescent="0.25">
      <c r="A88" s="100"/>
      <c r="C88" s="136"/>
      <c r="D88" s="101"/>
      <c r="E88" s="96"/>
      <c r="F88" s="96"/>
      <c r="G88" s="96"/>
      <c r="H88" s="96"/>
      <c r="I88" s="96"/>
      <c r="J88" s="96"/>
    </row>
    <row r="89" spans="1:17" x14ac:dyDescent="0.25">
      <c r="A89" s="103" t="s">
        <v>7</v>
      </c>
      <c r="B89" s="132"/>
      <c r="D89" s="96"/>
      <c r="E89" s="96"/>
      <c r="F89" s="71" t="s">
        <v>274</v>
      </c>
      <c r="H89" s="96"/>
      <c r="I89" s="96"/>
      <c r="J89" s="96"/>
      <c r="L89" s="91" t="s">
        <v>4</v>
      </c>
      <c r="M89" s="91" t="s">
        <v>10</v>
      </c>
      <c r="N89" s="91" t="s">
        <v>11</v>
      </c>
      <c r="O89" s="91" t="s">
        <v>12</v>
      </c>
      <c r="P89" s="91" t="s">
        <v>15</v>
      </c>
      <c r="Q89" s="91" t="s">
        <v>13</v>
      </c>
    </row>
    <row r="90" spans="1:17" x14ac:dyDescent="0.25">
      <c r="A90" s="71" t="s">
        <v>8</v>
      </c>
      <c r="B90" s="132"/>
      <c r="D90" s="96"/>
      <c r="E90" s="96"/>
      <c r="F90" s="96" t="s">
        <v>251</v>
      </c>
      <c r="H90" s="96"/>
      <c r="I90" s="96"/>
      <c r="J90" s="96"/>
      <c r="L90" s="90" t="s">
        <v>14</v>
      </c>
      <c r="M90" s="90">
        <v>4</v>
      </c>
      <c r="N90" s="90">
        <v>1</v>
      </c>
      <c r="O90" s="90"/>
      <c r="P90" s="90"/>
      <c r="Q90" s="90">
        <f>SUM(M90:P90)</f>
        <v>5</v>
      </c>
    </row>
    <row r="91" spans="1:17" x14ac:dyDescent="0.25">
      <c r="B91" s="132"/>
      <c r="D91" s="96"/>
      <c r="E91" s="96"/>
      <c r="F91" s="96"/>
      <c r="H91" s="96"/>
      <c r="I91" s="96"/>
      <c r="J91" s="96"/>
      <c r="L91" s="90" t="s">
        <v>11</v>
      </c>
      <c r="M91" s="90">
        <v>18</v>
      </c>
      <c r="N91" s="90">
        <v>3</v>
      </c>
      <c r="O91" s="90">
        <v>2</v>
      </c>
      <c r="P91" s="90"/>
      <c r="Q91" s="90">
        <f>SUM(M91:P91)</f>
        <v>23</v>
      </c>
    </row>
    <row r="92" spans="1:17" x14ac:dyDescent="0.25">
      <c r="B92" s="104"/>
      <c r="D92" s="96"/>
      <c r="E92" s="96"/>
      <c r="F92" s="96"/>
      <c r="H92" s="96"/>
      <c r="I92" s="96"/>
      <c r="J92" s="96"/>
      <c r="L92" s="95" t="s">
        <v>13</v>
      </c>
      <c r="M92" s="95">
        <f>SUM(M90:M91)</f>
        <v>22</v>
      </c>
      <c r="N92" s="95">
        <f t="shared" ref="N92:Q92" si="1">SUM(N90:N91)</f>
        <v>4</v>
      </c>
      <c r="O92" s="95">
        <f t="shared" si="1"/>
        <v>2</v>
      </c>
      <c r="P92" s="95">
        <f t="shared" si="1"/>
        <v>0</v>
      </c>
      <c r="Q92" s="95">
        <f t="shared" si="1"/>
        <v>28</v>
      </c>
    </row>
    <row r="93" spans="1:17" x14ac:dyDescent="0.25">
      <c r="B93" s="104"/>
      <c r="D93" s="96"/>
      <c r="E93" s="96"/>
      <c r="F93" s="96"/>
    </row>
    <row r="94" spans="1:17" x14ac:dyDescent="0.25">
      <c r="A94" s="71" t="s">
        <v>24</v>
      </c>
      <c r="B94" s="96"/>
      <c r="D94" s="103"/>
      <c r="F94" s="106" t="s">
        <v>261</v>
      </c>
      <c r="H94" s="96"/>
      <c r="I94" s="96"/>
      <c r="J94" s="96"/>
    </row>
    <row r="97" spans="15:15" x14ac:dyDescent="0.25">
      <c r="O97" s="71">
        <v>27</v>
      </c>
    </row>
    <row r="98" spans="15:15" x14ac:dyDescent="0.25">
      <c r="O98" s="119">
        <v>28</v>
      </c>
    </row>
    <row r="99" spans="15:15" x14ac:dyDescent="0.25">
      <c r="O99" s="71">
        <f>SUM(O97:O98)</f>
        <v>55</v>
      </c>
    </row>
  </sheetData>
  <sortState ref="C59:D86">
    <sortCondition ref="C59"/>
  </sortState>
  <mergeCells count="16">
    <mergeCell ref="A54:J54"/>
    <mergeCell ref="A55:J55"/>
    <mergeCell ref="A56:J56"/>
    <mergeCell ref="A58:A59"/>
    <mergeCell ref="B58:B59"/>
    <mergeCell ref="C58:C59"/>
    <mergeCell ref="D58:D59"/>
    <mergeCell ref="E58:J58"/>
    <mergeCell ref="A1:J1"/>
    <mergeCell ref="A2:J2"/>
    <mergeCell ref="A3:J3"/>
    <mergeCell ref="A5:A6"/>
    <mergeCell ref="B5:B6"/>
    <mergeCell ref="C5:C6"/>
    <mergeCell ref="D5:D6"/>
    <mergeCell ref="E5:J5"/>
  </mergeCells>
  <pageMargins left="0.57999999999999996" right="0.35" top="0.42" bottom="0.75" header="0.3" footer="0.3"/>
  <pageSetup paperSize="5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U163"/>
  <sheetViews>
    <sheetView tabSelected="1" topLeftCell="A103" zoomScaleNormal="100" workbookViewId="0">
      <selection activeCell="C116" sqref="C116:C117"/>
    </sheetView>
  </sheetViews>
  <sheetFormatPr defaultRowHeight="15.75" x14ac:dyDescent="0.25"/>
  <cols>
    <col min="1" max="1" width="4.5703125" style="71" customWidth="1"/>
    <col min="2" max="2" width="11.7109375" style="71" customWidth="1"/>
    <col min="3" max="3" width="34" style="71" customWidth="1"/>
    <col min="4" max="10" width="5.7109375" style="71" customWidth="1"/>
    <col min="11" max="11" width="9.140625" style="71"/>
    <col min="12" max="17" width="5.7109375" style="71" customWidth="1"/>
    <col min="18" max="18" width="9.140625" style="71"/>
    <col min="19" max="19" width="15.28515625" style="71" customWidth="1"/>
    <col min="20" max="16384" width="9.140625" style="71"/>
  </cols>
  <sheetData>
    <row r="1" spans="1:16" x14ac:dyDescent="0.25">
      <c r="A1" s="70" t="s">
        <v>275</v>
      </c>
      <c r="B1" s="70"/>
      <c r="C1" s="70"/>
      <c r="D1" s="70"/>
      <c r="E1" s="70"/>
      <c r="F1" s="70"/>
      <c r="G1" s="70"/>
      <c r="H1" s="70"/>
      <c r="I1" s="70"/>
      <c r="J1" s="70"/>
    </row>
    <row r="2" spans="1:16" x14ac:dyDescent="0.25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</row>
    <row r="3" spans="1:16" x14ac:dyDescent="0.25">
      <c r="A3" s="70" t="s">
        <v>243</v>
      </c>
      <c r="B3" s="70"/>
      <c r="C3" s="70"/>
      <c r="D3" s="70"/>
      <c r="E3" s="70"/>
      <c r="F3" s="70"/>
      <c r="G3" s="70"/>
      <c r="H3" s="70"/>
      <c r="I3" s="70"/>
      <c r="J3" s="70"/>
    </row>
    <row r="4" spans="1:16" x14ac:dyDescent="0.25">
      <c r="A4" s="72" t="s">
        <v>252</v>
      </c>
    </row>
    <row r="5" spans="1:16" ht="20.100000000000001" customHeight="1" x14ac:dyDescent="0.25">
      <c r="A5" s="122" t="s">
        <v>1</v>
      </c>
      <c r="B5" s="122" t="s">
        <v>2</v>
      </c>
      <c r="C5" s="122" t="s">
        <v>3</v>
      </c>
      <c r="D5" s="122" t="s">
        <v>4</v>
      </c>
      <c r="E5" s="123" t="s">
        <v>5</v>
      </c>
      <c r="F5" s="124"/>
      <c r="G5" s="124"/>
      <c r="H5" s="124"/>
      <c r="I5" s="124"/>
      <c r="J5" s="125"/>
    </row>
    <row r="6" spans="1:16" ht="65.099999999999994" customHeight="1" x14ac:dyDescent="0.25">
      <c r="A6" s="126"/>
      <c r="B6" s="126"/>
      <c r="C6" s="126"/>
      <c r="D6" s="126"/>
      <c r="E6" s="127" t="s">
        <v>268</v>
      </c>
      <c r="F6" s="127" t="s">
        <v>269</v>
      </c>
      <c r="G6" s="127" t="s">
        <v>270</v>
      </c>
      <c r="H6" s="127" t="s">
        <v>271</v>
      </c>
      <c r="I6" s="127" t="s">
        <v>272</v>
      </c>
      <c r="J6" s="127" t="s">
        <v>273</v>
      </c>
    </row>
    <row r="7" spans="1:16" ht="18.95" customHeight="1" x14ac:dyDescent="0.25">
      <c r="A7" s="73">
        <v>1</v>
      </c>
      <c r="B7" s="73">
        <v>41235691</v>
      </c>
      <c r="C7" s="79" t="s">
        <v>117</v>
      </c>
      <c r="D7" s="98" t="s">
        <v>25</v>
      </c>
      <c r="E7" s="107"/>
      <c r="F7" s="76"/>
      <c r="G7" s="76"/>
      <c r="H7" s="76"/>
      <c r="I7" s="76"/>
      <c r="J7" s="76"/>
    </row>
    <row r="8" spans="1:16" ht="18.95" customHeight="1" x14ac:dyDescent="0.25">
      <c r="A8" s="73">
        <v>2</v>
      </c>
      <c r="B8" s="73">
        <v>41235692</v>
      </c>
      <c r="C8" s="79" t="s">
        <v>118</v>
      </c>
      <c r="D8" s="98" t="s">
        <v>39</v>
      </c>
      <c r="E8" s="107"/>
      <c r="F8" s="76"/>
      <c r="G8" s="76"/>
      <c r="H8" s="76"/>
      <c r="I8" s="76"/>
      <c r="J8" s="76"/>
    </row>
    <row r="9" spans="1:16" ht="18.95" customHeight="1" x14ac:dyDescent="0.25">
      <c r="A9" s="73">
        <v>3</v>
      </c>
      <c r="B9" s="73">
        <v>41235693</v>
      </c>
      <c r="C9" s="79" t="s">
        <v>119</v>
      </c>
      <c r="D9" s="98" t="s">
        <v>25</v>
      </c>
      <c r="E9" s="107"/>
      <c r="F9" s="76"/>
      <c r="G9" s="76"/>
      <c r="H9" s="76"/>
      <c r="I9" s="76"/>
      <c r="J9" s="76"/>
    </row>
    <row r="10" spans="1:16" ht="18.95" customHeight="1" x14ac:dyDescent="0.25">
      <c r="A10" s="73">
        <v>4</v>
      </c>
      <c r="B10" s="73">
        <v>41235694</v>
      </c>
      <c r="C10" s="89" t="s">
        <v>120</v>
      </c>
      <c r="D10" s="98" t="s">
        <v>25</v>
      </c>
      <c r="E10" s="107"/>
      <c r="F10" s="76"/>
      <c r="G10" s="76"/>
      <c r="H10" s="76"/>
      <c r="I10" s="76"/>
      <c r="J10" s="76"/>
    </row>
    <row r="11" spans="1:16" ht="18.95" customHeight="1" x14ac:dyDescent="0.25">
      <c r="A11" s="73">
        <v>5</v>
      </c>
      <c r="B11" s="73">
        <v>41235695</v>
      </c>
      <c r="C11" s="79" t="s">
        <v>122</v>
      </c>
      <c r="D11" s="98" t="s">
        <v>25</v>
      </c>
      <c r="E11" s="107"/>
      <c r="F11" s="76"/>
      <c r="G11" s="76"/>
      <c r="H11" s="76"/>
      <c r="I11" s="76"/>
      <c r="J11" s="76"/>
    </row>
    <row r="12" spans="1:16" ht="18.95" customHeight="1" x14ac:dyDescent="0.25">
      <c r="A12" s="73">
        <v>6</v>
      </c>
      <c r="B12" s="73">
        <v>41235696</v>
      </c>
      <c r="C12" s="89" t="s">
        <v>140</v>
      </c>
      <c r="D12" s="98" t="s">
        <v>25</v>
      </c>
      <c r="E12" s="107"/>
      <c r="F12" s="76"/>
      <c r="G12" s="76"/>
      <c r="H12" s="76"/>
      <c r="I12" s="76"/>
      <c r="J12" s="76"/>
    </row>
    <row r="13" spans="1:16" ht="18.95" customHeight="1" x14ac:dyDescent="0.25">
      <c r="A13" s="73">
        <v>7</v>
      </c>
      <c r="B13" s="73">
        <v>41235697</v>
      </c>
      <c r="C13" s="89" t="s">
        <v>123</v>
      </c>
      <c r="D13" s="98" t="s">
        <v>25</v>
      </c>
      <c r="E13" s="107"/>
      <c r="F13" s="76"/>
      <c r="G13" s="76"/>
      <c r="H13" s="76"/>
      <c r="I13" s="76"/>
      <c r="J13" s="76"/>
      <c r="L13" s="105"/>
      <c r="M13" s="100"/>
      <c r="N13" s="136"/>
      <c r="O13" s="137"/>
      <c r="P13" s="137"/>
    </row>
    <row r="14" spans="1:16" ht="18.95" customHeight="1" x14ac:dyDescent="0.25">
      <c r="A14" s="73">
        <v>8</v>
      </c>
      <c r="B14" s="73">
        <v>41235698</v>
      </c>
      <c r="C14" s="89" t="s">
        <v>265</v>
      </c>
      <c r="D14" s="98" t="s">
        <v>39</v>
      </c>
      <c r="E14" s="107"/>
      <c r="F14" s="76"/>
      <c r="G14" s="76"/>
      <c r="H14" s="76"/>
      <c r="I14" s="76"/>
      <c r="J14" s="76"/>
    </row>
    <row r="15" spans="1:16" ht="18.95" customHeight="1" x14ac:dyDescent="0.25">
      <c r="A15" s="73">
        <v>9</v>
      </c>
      <c r="B15" s="73">
        <v>41235699</v>
      </c>
      <c r="C15" s="117" t="s">
        <v>201</v>
      </c>
      <c r="D15" s="98" t="s">
        <v>39</v>
      </c>
      <c r="E15" s="107"/>
      <c r="F15" s="76"/>
      <c r="G15" s="76"/>
      <c r="H15" s="76"/>
      <c r="I15" s="76"/>
      <c r="J15" s="76"/>
      <c r="O15" s="138"/>
      <c r="P15" s="138"/>
    </row>
    <row r="16" spans="1:16" ht="18.95" customHeight="1" x14ac:dyDescent="0.25">
      <c r="A16" s="73">
        <v>10</v>
      </c>
      <c r="B16" s="73">
        <v>41235700</v>
      </c>
      <c r="C16" s="87" t="s">
        <v>124</v>
      </c>
      <c r="D16" s="139" t="s">
        <v>25</v>
      </c>
      <c r="E16" s="107"/>
      <c r="F16" s="76"/>
      <c r="G16" s="76"/>
      <c r="H16" s="76"/>
      <c r="I16" s="76"/>
      <c r="J16" s="76"/>
      <c r="O16" s="138"/>
      <c r="P16" s="138"/>
    </row>
    <row r="17" spans="1:16" ht="18.95" customHeight="1" x14ac:dyDescent="0.25">
      <c r="A17" s="73">
        <v>11</v>
      </c>
      <c r="B17" s="73">
        <v>41235701</v>
      </c>
      <c r="C17" s="89" t="s">
        <v>125</v>
      </c>
      <c r="D17" s="98" t="s">
        <v>25</v>
      </c>
      <c r="E17" s="107"/>
      <c r="F17" s="76"/>
      <c r="G17" s="76"/>
      <c r="H17" s="76"/>
      <c r="I17" s="76"/>
      <c r="J17" s="76"/>
      <c r="O17" s="138"/>
      <c r="P17" s="138"/>
    </row>
    <row r="18" spans="1:16" ht="18.95" customHeight="1" x14ac:dyDescent="0.25">
      <c r="A18" s="73">
        <v>12</v>
      </c>
      <c r="B18" s="73">
        <v>41235702</v>
      </c>
      <c r="C18" s="89" t="s">
        <v>144</v>
      </c>
      <c r="D18" s="98" t="s">
        <v>25</v>
      </c>
      <c r="E18" s="107"/>
      <c r="F18" s="76"/>
      <c r="G18" s="76"/>
      <c r="H18" s="76"/>
      <c r="I18" s="76"/>
      <c r="J18" s="76"/>
      <c r="O18" s="140"/>
      <c r="P18" s="140"/>
    </row>
    <row r="19" spans="1:16" ht="18.95" customHeight="1" x14ac:dyDescent="0.25">
      <c r="A19" s="73">
        <v>13</v>
      </c>
      <c r="B19" s="73">
        <v>41235703</v>
      </c>
      <c r="C19" s="79" t="s">
        <v>126</v>
      </c>
      <c r="D19" s="98" t="s">
        <v>39</v>
      </c>
      <c r="E19" s="107"/>
      <c r="F19" s="76"/>
      <c r="G19" s="76"/>
      <c r="H19" s="76"/>
      <c r="I19" s="76"/>
      <c r="J19" s="76"/>
      <c r="O19" s="138"/>
      <c r="P19" s="138"/>
    </row>
    <row r="20" spans="1:16" ht="18.95" customHeight="1" x14ac:dyDescent="0.25">
      <c r="A20" s="73">
        <v>14</v>
      </c>
      <c r="B20" s="73">
        <v>41235704</v>
      </c>
      <c r="C20" s="89" t="s">
        <v>127</v>
      </c>
      <c r="D20" s="98" t="s">
        <v>108</v>
      </c>
      <c r="E20" s="107"/>
      <c r="F20" s="76"/>
      <c r="G20" s="76"/>
      <c r="H20" s="76"/>
      <c r="I20" s="76"/>
      <c r="J20" s="76"/>
      <c r="O20" s="138"/>
      <c r="P20" s="138"/>
    </row>
    <row r="21" spans="1:16" ht="18.95" customHeight="1" x14ac:dyDescent="0.25">
      <c r="A21" s="73">
        <v>15</v>
      </c>
      <c r="B21" s="73">
        <v>41235705</v>
      </c>
      <c r="C21" s="89" t="s">
        <v>128</v>
      </c>
      <c r="D21" s="98" t="s">
        <v>25</v>
      </c>
      <c r="E21" s="107"/>
      <c r="F21" s="76"/>
      <c r="G21" s="76"/>
      <c r="H21" s="76"/>
      <c r="I21" s="76"/>
      <c r="J21" s="76"/>
      <c r="O21" s="138"/>
      <c r="P21" s="138"/>
    </row>
    <row r="22" spans="1:16" ht="18.95" customHeight="1" x14ac:dyDescent="0.25">
      <c r="A22" s="73">
        <v>16</v>
      </c>
      <c r="B22" s="73">
        <v>41235706</v>
      </c>
      <c r="C22" s="89" t="s">
        <v>129</v>
      </c>
      <c r="D22" s="98" t="s">
        <v>39</v>
      </c>
      <c r="E22" s="107"/>
      <c r="F22" s="76"/>
      <c r="G22" s="76"/>
      <c r="H22" s="76"/>
      <c r="I22" s="76"/>
      <c r="J22" s="76"/>
      <c r="O22" s="140"/>
      <c r="P22" s="140"/>
    </row>
    <row r="23" spans="1:16" ht="18.95" customHeight="1" x14ac:dyDescent="0.25">
      <c r="A23" s="73">
        <v>17</v>
      </c>
      <c r="B23" s="73">
        <v>41235708</v>
      </c>
      <c r="C23" s="89" t="s">
        <v>130</v>
      </c>
      <c r="D23" s="98" t="s">
        <v>25</v>
      </c>
      <c r="E23" s="107"/>
      <c r="F23" s="76"/>
      <c r="G23" s="76"/>
      <c r="H23" s="76"/>
      <c r="I23" s="76"/>
      <c r="J23" s="76"/>
      <c r="O23" s="140"/>
      <c r="P23" s="140"/>
    </row>
    <row r="24" spans="1:16" ht="18.95" customHeight="1" x14ac:dyDescent="0.25">
      <c r="A24" s="73">
        <v>18</v>
      </c>
      <c r="B24" s="73">
        <v>41235709</v>
      </c>
      <c r="C24" s="89" t="s">
        <v>131</v>
      </c>
      <c r="D24" s="98" t="s">
        <v>39</v>
      </c>
      <c r="E24" s="107"/>
      <c r="F24" s="76"/>
      <c r="G24" s="76"/>
      <c r="H24" s="76"/>
      <c r="I24" s="76"/>
      <c r="J24" s="76"/>
      <c r="O24" s="140"/>
      <c r="P24" s="140"/>
    </row>
    <row r="25" spans="1:16" ht="18.95" customHeight="1" x14ac:dyDescent="0.25">
      <c r="A25" s="73">
        <v>19</v>
      </c>
      <c r="B25" s="73">
        <v>41235710</v>
      </c>
      <c r="C25" s="89" t="s">
        <v>132</v>
      </c>
      <c r="D25" s="98" t="s">
        <v>39</v>
      </c>
      <c r="E25" s="107"/>
      <c r="F25" s="76"/>
      <c r="G25" s="76"/>
      <c r="H25" s="76"/>
      <c r="I25" s="76"/>
      <c r="J25" s="76"/>
      <c r="O25" s="138"/>
      <c r="P25" s="138"/>
    </row>
    <row r="26" spans="1:16" ht="18.95" customHeight="1" x14ac:dyDescent="0.25">
      <c r="A26" s="73">
        <v>20</v>
      </c>
      <c r="B26" s="73">
        <v>41235714</v>
      </c>
      <c r="C26" s="89" t="s">
        <v>264</v>
      </c>
      <c r="D26" s="98" t="s">
        <v>25</v>
      </c>
      <c r="E26" s="107"/>
      <c r="F26" s="76"/>
      <c r="G26" s="76"/>
      <c r="H26" s="76"/>
      <c r="I26" s="76"/>
      <c r="J26" s="76"/>
      <c r="O26" s="138"/>
      <c r="P26" s="138"/>
    </row>
    <row r="27" spans="1:16" ht="18.95" customHeight="1" x14ac:dyDescent="0.25">
      <c r="A27" s="73">
        <v>21</v>
      </c>
      <c r="B27" s="73">
        <v>41235715</v>
      </c>
      <c r="C27" s="89" t="s">
        <v>134</v>
      </c>
      <c r="D27" s="98" t="s">
        <v>25</v>
      </c>
      <c r="E27" s="107"/>
      <c r="F27" s="76"/>
      <c r="G27" s="76"/>
      <c r="H27" s="76"/>
      <c r="I27" s="76"/>
      <c r="J27" s="76"/>
      <c r="O27" s="138"/>
      <c r="P27" s="138"/>
    </row>
    <row r="28" spans="1:16" ht="18.95" customHeight="1" x14ac:dyDescent="0.25">
      <c r="A28" s="73">
        <v>22</v>
      </c>
      <c r="B28" s="73">
        <v>41235716</v>
      </c>
      <c r="C28" s="89" t="s">
        <v>135</v>
      </c>
      <c r="D28" s="98" t="s">
        <v>39</v>
      </c>
      <c r="E28" s="107"/>
      <c r="F28" s="76"/>
      <c r="G28" s="76"/>
      <c r="H28" s="76"/>
      <c r="I28" s="76"/>
      <c r="J28" s="76"/>
      <c r="O28" s="138"/>
      <c r="P28" s="138"/>
    </row>
    <row r="29" spans="1:16" ht="18.95" customHeight="1" x14ac:dyDescent="0.25">
      <c r="A29" s="73">
        <v>23</v>
      </c>
      <c r="B29" s="73">
        <v>41235717</v>
      </c>
      <c r="C29" s="89" t="s">
        <v>218</v>
      </c>
      <c r="D29" s="98" t="s">
        <v>25</v>
      </c>
      <c r="E29" s="107"/>
      <c r="F29" s="76"/>
      <c r="G29" s="76"/>
      <c r="H29" s="76"/>
      <c r="I29" s="76"/>
      <c r="J29" s="76"/>
      <c r="O29" s="138"/>
      <c r="P29" s="138"/>
    </row>
    <row r="30" spans="1:16" ht="18.95" customHeight="1" x14ac:dyDescent="0.25">
      <c r="A30" s="73">
        <v>24</v>
      </c>
      <c r="B30" s="73">
        <v>41235718</v>
      </c>
      <c r="C30" s="89" t="s">
        <v>136</v>
      </c>
      <c r="D30" s="98" t="s">
        <v>25</v>
      </c>
      <c r="E30" s="107"/>
      <c r="F30" s="76"/>
      <c r="G30" s="76"/>
      <c r="H30" s="76"/>
      <c r="I30" s="76"/>
      <c r="J30" s="76"/>
      <c r="N30" s="96"/>
      <c r="O30" s="96"/>
      <c r="P30" s="96"/>
    </row>
    <row r="31" spans="1:16" ht="18.95" customHeight="1" x14ac:dyDescent="0.25">
      <c r="A31" s="73">
        <v>25</v>
      </c>
      <c r="B31" s="73">
        <v>41235719</v>
      </c>
      <c r="C31" s="89" t="s">
        <v>137</v>
      </c>
      <c r="D31" s="98" t="s">
        <v>39</v>
      </c>
      <c r="E31" s="107"/>
      <c r="F31" s="76"/>
      <c r="G31" s="76"/>
      <c r="H31" s="76"/>
      <c r="I31" s="76"/>
      <c r="J31" s="76"/>
      <c r="N31" s="96"/>
      <c r="O31" s="96"/>
      <c r="P31" s="96"/>
    </row>
    <row r="32" spans="1:16" ht="18.95" customHeight="1" x14ac:dyDescent="0.25">
      <c r="A32" s="73">
        <v>26</v>
      </c>
      <c r="B32" s="73">
        <v>41235720</v>
      </c>
      <c r="C32" s="89" t="s">
        <v>138</v>
      </c>
      <c r="D32" s="98" t="s">
        <v>25</v>
      </c>
      <c r="E32" s="107"/>
      <c r="F32" s="76"/>
      <c r="G32" s="76"/>
      <c r="H32" s="76"/>
      <c r="I32" s="76"/>
      <c r="J32" s="76"/>
      <c r="N32" s="96"/>
      <c r="O32" s="96"/>
      <c r="P32" s="96"/>
    </row>
    <row r="33" spans="1:18" ht="18.95" customHeight="1" x14ac:dyDescent="0.25">
      <c r="A33" s="73">
        <v>27</v>
      </c>
      <c r="B33" s="73">
        <v>41235722</v>
      </c>
      <c r="C33" s="117" t="s">
        <v>202</v>
      </c>
      <c r="D33" s="98" t="s">
        <v>25</v>
      </c>
      <c r="E33" s="107"/>
      <c r="F33" s="76"/>
      <c r="G33" s="76"/>
      <c r="H33" s="76"/>
      <c r="I33" s="76"/>
      <c r="J33" s="76"/>
      <c r="N33" s="96"/>
      <c r="O33" s="96"/>
      <c r="P33" s="96"/>
    </row>
    <row r="34" spans="1:18" ht="18.95" customHeight="1" x14ac:dyDescent="0.25">
      <c r="A34" s="73">
        <v>28</v>
      </c>
      <c r="B34" s="141">
        <v>42245795</v>
      </c>
      <c r="C34" s="117" t="s">
        <v>231</v>
      </c>
      <c r="D34" s="98" t="s">
        <v>25</v>
      </c>
      <c r="E34" s="107"/>
      <c r="F34" s="76"/>
      <c r="G34" s="76"/>
      <c r="H34" s="76"/>
      <c r="I34" s="76"/>
      <c r="J34" s="76"/>
      <c r="N34" s="96"/>
      <c r="O34" s="96"/>
      <c r="P34" s="96"/>
    </row>
    <row r="35" spans="1:18" ht="18.95" customHeight="1" x14ac:dyDescent="0.25">
      <c r="A35" s="73"/>
      <c r="B35" s="76"/>
      <c r="C35" s="76"/>
      <c r="D35" s="76"/>
      <c r="E35" s="142"/>
      <c r="F35" s="142"/>
      <c r="G35" s="142"/>
      <c r="H35" s="142"/>
      <c r="I35" s="142"/>
      <c r="J35" s="142"/>
    </row>
    <row r="36" spans="1:18" ht="18.95" customHeight="1" x14ac:dyDescent="0.25">
      <c r="A36" s="73"/>
      <c r="B36" s="73"/>
      <c r="C36" s="108"/>
      <c r="D36" s="120"/>
      <c r="E36" s="76"/>
      <c r="F36" s="76"/>
      <c r="G36" s="76"/>
      <c r="H36" s="76"/>
      <c r="I36" s="76"/>
      <c r="J36" s="76"/>
    </row>
    <row r="37" spans="1:18" ht="18" customHeight="1" x14ac:dyDescent="0.25">
      <c r="A37" s="100"/>
      <c r="E37" s="96"/>
      <c r="F37" s="96"/>
      <c r="G37" s="96"/>
      <c r="H37" s="96"/>
      <c r="I37" s="96"/>
      <c r="J37" s="96"/>
      <c r="N37" s="96"/>
      <c r="O37" s="96"/>
      <c r="P37" s="96"/>
    </row>
    <row r="38" spans="1:18" ht="15" customHeight="1" x14ac:dyDescent="0.25">
      <c r="A38" s="103" t="s">
        <v>7</v>
      </c>
      <c r="B38" s="132"/>
      <c r="E38" s="96"/>
      <c r="F38" s="71" t="s">
        <v>274</v>
      </c>
      <c r="L38" s="91" t="s">
        <v>4</v>
      </c>
      <c r="M38" s="91" t="s">
        <v>10</v>
      </c>
      <c r="N38" s="91" t="s">
        <v>11</v>
      </c>
      <c r="O38" s="91" t="s">
        <v>12</v>
      </c>
      <c r="P38" s="91" t="s">
        <v>21</v>
      </c>
      <c r="Q38" s="91" t="s">
        <v>15</v>
      </c>
      <c r="R38" s="91" t="s">
        <v>13</v>
      </c>
    </row>
    <row r="39" spans="1:18" ht="15" customHeight="1" x14ac:dyDescent="0.25">
      <c r="A39" s="71" t="s">
        <v>8</v>
      </c>
      <c r="B39" s="132"/>
      <c r="E39" s="96"/>
      <c r="F39" s="96" t="s">
        <v>253</v>
      </c>
      <c r="L39" s="90" t="s">
        <v>14</v>
      </c>
      <c r="M39" s="90">
        <v>18</v>
      </c>
      <c r="N39" s="90">
        <v>9</v>
      </c>
      <c r="O39" s="73"/>
      <c r="P39" s="73"/>
      <c r="Q39" s="90">
        <v>1</v>
      </c>
      <c r="R39" s="90">
        <f>SUM(M39:Q39)</f>
        <v>28</v>
      </c>
    </row>
    <row r="40" spans="1:18" ht="15" customHeight="1" x14ac:dyDescent="0.25">
      <c r="B40" s="132"/>
      <c r="F40" s="96"/>
      <c r="L40" s="90" t="s">
        <v>11</v>
      </c>
      <c r="M40" s="90"/>
      <c r="N40" s="90"/>
      <c r="O40" s="76"/>
      <c r="P40" s="76"/>
      <c r="Q40" s="90"/>
      <c r="R40" s="90">
        <f>SUM(M40:Q40)</f>
        <v>0</v>
      </c>
    </row>
    <row r="41" spans="1:18" ht="15" customHeight="1" x14ac:dyDescent="0.25">
      <c r="B41" s="102"/>
      <c r="F41" s="96"/>
      <c r="L41" s="95" t="s">
        <v>13</v>
      </c>
      <c r="M41" s="95">
        <f>SUM(M39:M40)</f>
        <v>18</v>
      </c>
      <c r="N41" s="95">
        <f t="shared" ref="N41" si="0">SUM(N39:N40)</f>
        <v>9</v>
      </c>
      <c r="O41" s="76"/>
      <c r="P41" s="76"/>
      <c r="Q41" s="95">
        <f>SUM(Q39:Q40)</f>
        <v>1</v>
      </c>
      <c r="R41" s="95">
        <f>SUM(R39:R40)</f>
        <v>28</v>
      </c>
    </row>
    <row r="42" spans="1:18" ht="15" customHeight="1" x14ac:dyDescent="0.25">
      <c r="B42" s="143"/>
      <c r="F42" s="96"/>
    </row>
    <row r="43" spans="1:18" ht="15" customHeight="1" x14ac:dyDescent="0.25">
      <c r="A43" s="71" t="s">
        <v>24</v>
      </c>
      <c r="F43" s="106" t="s">
        <v>267</v>
      </c>
    </row>
    <row r="45" spans="1:18" x14ac:dyDescent="0.25">
      <c r="L45" s="96"/>
    </row>
    <row r="57" spans="1:10" x14ac:dyDescent="0.25">
      <c r="A57" s="70" t="s">
        <v>275</v>
      </c>
      <c r="B57" s="70"/>
      <c r="C57" s="70"/>
      <c r="D57" s="70"/>
      <c r="E57" s="70"/>
      <c r="F57" s="70"/>
      <c r="G57" s="70"/>
      <c r="H57" s="70"/>
      <c r="I57" s="70"/>
      <c r="J57" s="70"/>
    </row>
    <row r="58" spans="1:10" x14ac:dyDescent="0.25">
      <c r="A58" s="70" t="s">
        <v>0</v>
      </c>
      <c r="B58" s="70"/>
      <c r="C58" s="70"/>
      <c r="D58" s="70"/>
      <c r="E58" s="70"/>
      <c r="F58" s="70"/>
      <c r="G58" s="70"/>
      <c r="H58" s="70"/>
      <c r="I58" s="70"/>
      <c r="J58" s="70"/>
    </row>
    <row r="59" spans="1:10" x14ac:dyDescent="0.25">
      <c r="A59" s="70" t="s">
        <v>243</v>
      </c>
      <c r="B59" s="70"/>
      <c r="C59" s="70"/>
      <c r="D59" s="70"/>
      <c r="E59" s="70"/>
      <c r="F59" s="70"/>
      <c r="G59" s="70"/>
      <c r="H59" s="70"/>
      <c r="I59" s="70"/>
      <c r="J59" s="70"/>
    </row>
    <row r="60" spans="1:10" x14ac:dyDescent="0.25">
      <c r="A60" s="72" t="s">
        <v>254</v>
      </c>
      <c r="C60" s="133"/>
      <c r="D60" s="100"/>
      <c r="E60" s="96"/>
      <c r="F60" s="96"/>
      <c r="G60" s="96"/>
      <c r="H60" s="96"/>
      <c r="I60" s="96"/>
      <c r="J60" s="96"/>
    </row>
    <row r="61" spans="1:10" ht="18.95" customHeight="1" x14ac:dyDescent="0.25">
      <c r="A61" s="122" t="s">
        <v>1</v>
      </c>
      <c r="B61" s="122" t="s">
        <v>2</v>
      </c>
      <c r="C61" s="122" t="s">
        <v>3</v>
      </c>
      <c r="D61" s="122" t="s">
        <v>4</v>
      </c>
      <c r="E61" s="123" t="s">
        <v>5</v>
      </c>
      <c r="F61" s="124"/>
      <c r="G61" s="124"/>
      <c r="H61" s="124"/>
      <c r="I61" s="124"/>
      <c r="J61" s="125"/>
    </row>
    <row r="62" spans="1:10" ht="65.099999999999994" customHeight="1" x14ac:dyDescent="0.25">
      <c r="A62" s="126"/>
      <c r="B62" s="126"/>
      <c r="C62" s="126"/>
      <c r="D62" s="126"/>
      <c r="E62" s="127" t="s">
        <v>268</v>
      </c>
      <c r="F62" s="127" t="s">
        <v>269</v>
      </c>
      <c r="G62" s="127" t="s">
        <v>270</v>
      </c>
      <c r="H62" s="127" t="s">
        <v>271</v>
      </c>
      <c r="I62" s="127" t="s">
        <v>272</v>
      </c>
      <c r="J62" s="127" t="s">
        <v>273</v>
      </c>
    </row>
    <row r="63" spans="1:10" ht="20.100000000000001" customHeight="1" x14ac:dyDescent="0.25">
      <c r="A63" s="73">
        <v>1</v>
      </c>
      <c r="B63" s="73">
        <v>41235723</v>
      </c>
      <c r="C63" s="79" t="s">
        <v>221</v>
      </c>
      <c r="D63" s="98" t="s">
        <v>39</v>
      </c>
      <c r="E63" s="107"/>
      <c r="F63" s="76"/>
      <c r="G63" s="76"/>
      <c r="H63" s="76"/>
      <c r="I63" s="76"/>
      <c r="J63" s="76"/>
    </row>
    <row r="64" spans="1:10" ht="20.100000000000001" customHeight="1" x14ac:dyDescent="0.25">
      <c r="A64" s="73">
        <v>2</v>
      </c>
      <c r="B64" s="73">
        <v>41235725</v>
      </c>
      <c r="C64" s="89" t="s">
        <v>121</v>
      </c>
      <c r="D64" s="98" t="s">
        <v>25</v>
      </c>
      <c r="E64" s="107"/>
      <c r="F64" s="76"/>
      <c r="G64" s="76"/>
      <c r="H64" s="76"/>
      <c r="I64" s="76"/>
      <c r="J64" s="76"/>
    </row>
    <row r="65" spans="1:10" ht="20.100000000000001" customHeight="1" x14ac:dyDescent="0.25">
      <c r="A65" s="73">
        <v>3</v>
      </c>
      <c r="B65" s="73">
        <v>41235727</v>
      </c>
      <c r="C65" s="89" t="s">
        <v>141</v>
      </c>
      <c r="D65" s="98" t="s">
        <v>25</v>
      </c>
      <c r="E65" s="107"/>
      <c r="F65" s="76"/>
      <c r="G65" s="76"/>
      <c r="H65" s="76"/>
      <c r="I65" s="76"/>
      <c r="J65" s="76"/>
    </row>
    <row r="66" spans="1:10" ht="20.100000000000001" customHeight="1" x14ac:dyDescent="0.25">
      <c r="A66" s="73">
        <v>4</v>
      </c>
      <c r="B66" s="73">
        <v>41235728</v>
      </c>
      <c r="C66" s="79" t="s">
        <v>214</v>
      </c>
      <c r="D66" s="98" t="s">
        <v>25</v>
      </c>
      <c r="E66" s="107"/>
      <c r="F66" s="76"/>
      <c r="G66" s="76"/>
      <c r="H66" s="76"/>
      <c r="I66" s="76"/>
      <c r="J66" s="76"/>
    </row>
    <row r="67" spans="1:10" ht="20.100000000000001" customHeight="1" x14ac:dyDescent="0.25">
      <c r="A67" s="73">
        <v>5</v>
      </c>
      <c r="B67" s="73">
        <v>41235729</v>
      </c>
      <c r="C67" s="79" t="s">
        <v>142</v>
      </c>
      <c r="D67" s="98" t="s">
        <v>39</v>
      </c>
      <c r="E67" s="107"/>
      <c r="F67" s="76"/>
      <c r="G67" s="76"/>
      <c r="H67" s="76"/>
      <c r="I67" s="76"/>
      <c r="J67" s="76"/>
    </row>
    <row r="68" spans="1:10" ht="20.100000000000001" customHeight="1" x14ac:dyDescent="0.25">
      <c r="A68" s="73">
        <v>6</v>
      </c>
      <c r="B68" s="73">
        <v>41235730</v>
      </c>
      <c r="C68" s="79" t="s">
        <v>143</v>
      </c>
      <c r="D68" s="98" t="s">
        <v>39</v>
      </c>
      <c r="E68" s="107"/>
      <c r="F68" s="76"/>
      <c r="G68" s="76"/>
      <c r="H68" s="76"/>
      <c r="I68" s="76"/>
      <c r="J68" s="76"/>
    </row>
    <row r="69" spans="1:10" ht="20.100000000000001" customHeight="1" x14ac:dyDescent="0.25">
      <c r="A69" s="73">
        <v>7</v>
      </c>
      <c r="B69" s="73">
        <v>41235731</v>
      </c>
      <c r="C69" s="79" t="s">
        <v>145</v>
      </c>
      <c r="D69" s="98" t="s">
        <v>39</v>
      </c>
      <c r="E69" s="107"/>
      <c r="F69" s="76"/>
      <c r="G69" s="76"/>
      <c r="H69" s="76"/>
      <c r="I69" s="76"/>
      <c r="J69" s="76"/>
    </row>
    <row r="70" spans="1:10" ht="20.100000000000001" customHeight="1" x14ac:dyDescent="0.25">
      <c r="A70" s="73">
        <v>8</v>
      </c>
      <c r="B70" s="73">
        <v>41235732</v>
      </c>
      <c r="C70" s="79" t="s">
        <v>219</v>
      </c>
      <c r="D70" s="98" t="s">
        <v>25</v>
      </c>
      <c r="E70" s="107"/>
      <c r="F70" s="76"/>
      <c r="G70" s="76"/>
      <c r="H70" s="76"/>
      <c r="I70" s="76"/>
      <c r="J70" s="76"/>
    </row>
    <row r="71" spans="1:10" ht="20.100000000000001" customHeight="1" x14ac:dyDescent="0.25">
      <c r="A71" s="73">
        <v>9</v>
      </c>
      <c r="B71" s="73">
        <v>41235733</v>
      </c>
      <c r="C71" s="89" t="s">
        <v>146</v>
      </c>
      <c r="D71" s="98" t="s">
        <v>25</v>
      </c>
      <c r="E71" s="107"/>
      <c r="F71" s="76"/>
      <c r="G71" s="76"/>
      <c r="H71" s="76"/>
      <c r="I71" s="76"/>
      <c r="J71" s="76"/>
    </row>
    <row r="72" spans="1:10" ht="20.100000000000001" customHeight="1" x14ac:dyDescent="0.25">
      <c r="A72" s="73">
        <v>10</v>
      </c>
      <c r="B72" s="73">
        <v>41235734</v>
      </c>
      <c r="C72" s="83" t="s">
        <v>82</v>
      </c>
      <c r="D72" s="90" t="s">
        <v>25</v>
      </c>
      <c r="E72" s="107"/>
      <c r="F72" s="76"/>
      <c r="G72" s="76"/>
      <c r="H72" s="76"/>
      <c r="I72" s="76"/>
      <c r="J72" s="76"/>
    </row>
    <row r="73" spans="1:10" ht="20.100000000000001" customHeight="1" x14ac:dyDescent="0.25">
      <c r="A73" s="73">
        <v>11</v>
      </c>
      <c r="B73" s="73">
        <v>41235735</v>
      </c>
      <c r="C73" s="89" t="s">
        <v>147</v>
      </c>
      <c r="D73" s="98" t="s">
        <v>25</v>
      </c>
      <c r="E73" s="107"/>
      <c r="F73" s="76"/>
      <c r="G73" s="76"/>
      <c r="H73" s="76"/>
      <c r="I73" s="76"/>
      <c r="J73" s="76"/>
    </row>
    <row r="74" spans="1:10" ht="20.100000000000001" customHeight="1" x14ac:dyDescent="0.25">
      <c r="A74" s="73">
        <v>12</v>
      </c>
      <c r="B74" s="73">
        <v>41235736</v>
      </c>
      <c r="C74" s="79" t="s">
        <v>148</v>
      </c>
      <c r="D74" s="98" t="s">
        <v>39</v>
      </c>
      <c r="E74" s="107"/>
      <c r="F74" s="76"/>
      <c r="G74" s="76"/>
      <c r="H74" s="76"/>
      <c r="I74" s="76"/>
      <c r="J74" s="76"/>
    </row>
    <row r="75" spans="1:10" ht="20.100000000000001" customHeight="1" x14ac:dyDescent="0.25">
      <c r="A75" s="73">
        <v>13</v>
      </c>
      <c r="B75" s="73">
        <v>41235737</v>
      </c>
      <c r="C75" s="89" t="s">
        <v>149</v>
      </c>
      <c r="D75" s="98" t="s">
        <v>25</v>
      </c>
      <c r="E75" s="107"/>
      <c r="F75" s="76"/>
      <c r="G75" s="76"/>
      <c r="H75" s="76"/>
      <c r="I75" s="76"/>
      <c r="J75" s="76"/>
    </row>
    <row r="76" spans="1:10" ht="20.100000000000001" customHeight="1" x14ac:dyDescent="0.25">
      <c r="A76" s="73">
        <v>14</v>
      </c>
      <c r="B76" s="73">
        <v>41235738</v>
      </c>
      <c r="C76" s="89" t="s">
        <v>150</v>
      </c>
      <c r="D76" s="98" t="s">
        <v>33</v>
      </c>
      <c r="E76" s="107"/>
      <c r="F76" s="76"/>
      <c r="G76" s="76"/>
      <c r="H76" s="76"/>
      <c r="I76" s="76"/>
      <c r="J76" s="76"/>
    </row>
    <row r="77" spans="1:10" ht="20.100000000000001" customHeight="1" x14ac:dyDescent="0.25">
      <c r="A77" s="73">
        <v>15</v>
      </c>
      <c r="B77" s="73">
        <v>41235739</v>
      </c>
      <c r="C77" s="89" t="s">
        <v>222</v>
      </c>
      <c r="D77" s="98" t="s">
        <v>39</v>
      </c>
      <c r="E77" s="107"/>
      <c r="F77" s="76"/>
      <c r="G77" s="76"/>
      <c r="H77" s="76"/>
      <c r="I77" s="76"/>
      <c r="J77" s="76"/>
    </row>
    <row r="78" spans="1:10" ht="20.100000000000001" customHeight="1" x14ac:dyDescent="0.25">
      <c r="A78" s="73">
        <v>16</v>
      </c>
      <c r="B78" s="73">
        <v>41235740</v>
      </c>
      <c r="C78" s="89" t="s">
        <v>151</v>
      </c>
      <c r="D78" s="98" t="s">
        <v>39</v>
      </c>
      <c r="E78" s="107"/>
      <c r="F78" s="76"/>
      <c r="G78" s="76"/>
      <c r="H78" s="76"/>
      <c r="I78" s="76"/>
      <c r="J78" s="76"/>
    </row>
    <row r="79" spans="1:10" ht="20.100000000000001" customHeight="1" x14ac:dyDescent="0.25">
      <c r="A79" s="73">
        <v>17</v>
      </c>
      <c r="B79" s="73">
        <v>41235741</v>
      </c>
      <c r="C79" s="108" t="s">
        <v>189</v>
      </c>
      <c r="D79" s="98" t="s">
        <v>25</v>
      </c>
      <c r="E79" s="107"/>
      <c r="F79" s="76"/>
      <c r="G79" s="76"/>
      <c r="H79" s="76"/>
      <c r="I79" s="76"/>
      <c r="J79" s="76"/>
    </row>
    <row r="80" spans="1:10" ht="20.100000000000001" customHeight="1" x14ac:dyDescent="0.25">
      <c r="A80" s="73">
        <v>18</v>
      </c>
      <c r="B80" s="73">
        <v>41235742</v>
      </c>
      <c r="C80" s="89" t="s">
        <v>155</v>
      </c>
      <c r="D80" s="98" t="s">
        <v>25</v>
      </c>
      <c r="E80" s="107"/>
      <c r="F80" s="76"/>
      <c r="G80" s="76"/>
      <c r="H80" s="76"/>
      <c r="I80" s="76"/>
      <c r="J80" s="76"/>
    </row>
    <row r="81" spans="1:21" ht="20.100000000000001" customHeight="1" x14ac:dyDescent="0.25">
      <c r="A81" s="73">
        <v>19</v>
      </c>
      <c r="B81" s="73">
        <v>41235743</v>
      </c>
      <c r="C81" s="89" t="s">
        <v>156</v>
      </c>
      <c r="D81" s="98" t="s">
        <v>25</v>
      </c>
      <c r="E81" s="107"/>
      <c r="F81" s="76"/>
      <c r="G81" s="76"/>
      <c r="H81" s="76"/>
      <c r="I81" s="76"/>
      <c r="J81" s="76"/>
    </row>
    <row r="82" spans="1:21" ht="20.100000000000001" customHeight="1" x14ac:dyDescent="0.25">
      <c r="A82" s="73">
        <v>20</v>
      </c>
      <c r="B82" s="73">
        <v>41235744</v>
      </c>
      <c r="C82" s="87" t="s">
        <v>157</v>
      </c>
      <c r="D82" s="139" t="s">
        <v>25</v>
      </c>
      <c r="E82" s="107"/>
      <c r="F82" s="76"/>
      <c r="G82" s="76"/>
      <c r="H82" s="76"/>
      <c r="I82" s="76"/>
      <c r="J82" s="76"/>
    </row>
    <row r="83" spans="1:21" ht="20.100000000000001" customHeight="1" x14ac:dyDescent="0.25">
      <c r="A83" s="73">
        <v>21</v>
      </c>
      <c r="B83" s="73">
        <v>41235745</v>
      </c>
      <c r="C83" s="89" t="s">
        <v>158</v>
      </c>
      <c r="D83" s="98" t="s">
        <v>27</v>
      </c>
      <c r="E83" s="107"/>
      <c r="F83" s="76"/>
      <c r="G83" s="76"/>
      <c r="H83" s="76"/>
      <c r="I83" s="76"/>
      <c r="J83" s="76"/>
    </row>
    <row r="84" spans="1:21" ht="20.100000000000001" customHeight="1" x14ac:dyDescent="0.25">
      <c r="A84" s="73">
        <v>22</v>
      </c>
      <c r="B84" s="73">
        <v>41235747</v>
      </c>
      <c r="C84" s="79" t="s">
        <v>175</v>
      </c>
      <c r="D84" s="98" t="s">
        <v>25</v>
      </c>
      <c r="E84" s="107"/>
      <c r="F84" s="76"/>
      <c r="G84" s="76"/>
      <c r="H84" s="76"/>
      <c r="I84" s="76"/>
      <c r="J84" s="76"/>
    </row>
    <row r="85" spans="1:21" ht="20.100000000000001" customHeight="1" x14ac:dyDescent="0.25">
      <c r="A85" s="73">
        <v>23</v>
      </c>
      <c r="B85" s="73">
        <v>41235748</v>
      </c>
      <c r="C85" s="79" t="s">
        <v>159</v>
      </c>
      <c r="D85" s="98" t="s">
        <v>39</v>
      </c>
      <c r="E85" s="107"/>
      <c r="F85" s="76"/>
      <c r="G85" s="76"/>
      <c r="H85" s="76"/>
      <c r="I85" s="76"/>
      <c r="J85" s="76"/>
    </row>
    <row r="86" spans="1:21" ht="20.100000000000001" customHeight="1" x14ac:dyDescent="0.25">
      <c r="A86" s="73">
        <v>24</v>
      </c>
      <c r="B86" s="73">
        <v>41235749</v>
      </c>
      <c r="C86" s="89" t="s">
        <v>160</v>
      </c>
      <c r="D86" s="98" t="s">
        <v>25</v>
      </c>
      <c r="E86" s="107"/>
      <c r="F86" s="76"/>
      <c r="G86" s="76"/>
      <c r="H86" s="76"/>
      <c r="I86" s="76"/>
      <c r="J86" s="76"/>
    </row>
    <row r="87" spans="1:21" ht="20.100000000000001" customHeight="1" x14ac:dyDescent="0.25">
      <c r="A87" s="73">
        <v>25</v>
      </c>
      <c r="B87" s="73">
        <v>41235750</v>
      </c>
      <c r="C87" s="87" t="s">
        <v>162</v>
      </c>
      <c r="D87" s="139" t="s">
        <v>25</v>
      </c>
      <c r="E87" s="107"/>
      <c r="F87" s="76"/>
      <c r="G87" s="76"/>
      <c r="H87" s="76"/>
      <c r="I87" s="76"/>
      <c r="J87" s="76"/>
    </row>
    <row r="88" spans="1:21" ht="20.100000000000001" customHeight="1" x14ac:dyDescent="0.25">
      <c r="A88" s="73">
        <v>26</v>
      </c>
      <c r="B88" s="73">
        <v>41235751</v>
      </c>
      <c r="C88" s="79" t="s">
        <v>177</v>
      </c>
      <c r="D88" s="98" t="s">
        <v>25</v>
      </c>
      <c r="E88" s="107"/>
      <c r="F88" s="76"/>
      <c r="G88" s="76"/>
      <c r="H88" s="76"/>
      <c r="I88" s="76"/>
      <c r="J88" s="76"/>
    </row>
    <row r="89" spans="1:21" ht="20.100000000000001" customHeight="1" x14ac:dyDescent="0.25">
      <c r="A89" s="73">
        <v>27</v>
      </c>
      <c r="B89" s="73">
        <v>41235752</v>
      </c>
      <c r="C89" s="79" t="s">
        <v>203</v>
      </c>
      <c r="D89" s="98" t="s">
        <v>25</v>
      </c>
      <c r="E89" s="107"/>
      <c r="F89" s="76"/>
      <c r="G89" s="76"/>
      <c r="H89" s="76"/>
      <c r="I89" s="76"/>
      <c r="J89" s="76"/>
    </row>
    <row r="90" spans="1:21" ht="20.100000000000001" customHeight="1" x14ac:dyDescent="0.25">
      <c r="A90" s="73">
        <v>28</v>
      </c>
      <c r="B90" s="73">
        <v>41235753</v>
      </c>
      <c r="C90" s="79" t="s">
        <v>187</v>
      </c>
      <c r="D90" s="134" t="s">
        <v>25</v>
      </c>
      <c r="E90" s="76"/>
      <c r="F90" s="76"/>
      <c r="G90" s="76"/>
      <c r="H90" s="76"/>
      <c r="I90" s="76"/>
      <c r="J90" s="76"/>
    </row>
    <row r="91" spans="1:21" ht="20.100000000000001" customHeight="1" x14ac:dyDescent="0.25">
      <c r="A91" s="73">
        <v>29</v>
      </c>
      <c r="B91" s="73">
        <v>41235754</v>
      </c>
      <c r="C91" s="79" t="s">
        <v>163</v>
      </c>
      <c r="D91" s="98" t="s">
        <v>39</v>
      </c>
      <c r="E91" s="76"/>
      <c r="F91" s="76"/>
      <c r="G91" s="76"/>
      <c r="H91" s="76"/>
      <c r="I91" s="76"/>
      <c r="J91" s="76"/>
    </row>
    <row r="92" spans="1:21" ht="20.100000000000001" customHeight="1" x14ac:dyDescent="0.25">
      <c r="A92" s="73">
        <v>30</v>
      </c>
      <c r="B92" s="141">
        <v>41235789</v>
      </c>
      <c r="C92" s="144" t="s">
        <v>209</v>
      </c>
      <c r="D92" s="145" t="s">
        <v>25</v>
      </c>
      <c r="E92" s="76"/>
      <c r="F92" s="76"/>
      <c r="G92" s="76"/>
      <c r="H92" s="76"/>
      <c r="I92" s="76"/>
      <c r="J92" s="76"/>
      <c r="L92" s="77"/>
    </row>
    <row r="93" spans="1:21" ht="20.100000000000001" customHeight="1" x14ac:dyDescent="0.25">
      <c r="A93" s="118"/>
      <c r="B93" s="73"/>
      <c r="C93" s="108"/>
      <c r="D93" s="120"/>
      <c r="E93" s="76"/>
      <c r="F93" s="76"/>
      <c r="G93" s="76"/>
      <c r="H93" s="76"/>
      <c r="I93" s="76"/>
      <c r="J93" s="76"/>
      <c r="L93" s="77"/>
    </row>
    <row r="94" spans="1:21" ht="17.100000000000001" customHeight="1" x14ac:dyDescent="0.25">
      <c r="A94" s="105"/>
      <c r="B94" s="100"/>
      <c r="C94" s="84"/>
      <c r="D94" s="78"/>
      <c r="E94" s="96"/>
      <c r="F94" s="96"/>
      <c r="G94" s="96"/>
      <c r="H94" s="96"/>
      <c r="I94" s="96"/>
      <c r="J94" s="96"/>
      <c r="L94" s="77"/>
    </row>
    <row r="95" spans="1:21" ht="15" customHeight="1" x14ac:dyDescent="0.25">
      <c r="A95" s="103" t="s">
        <v>7</v>
      </c>
      <c r="B95" s="132"/>
      <c r="F95" s="71" t="s">
        <v>274</v>
      </c>
      <c r="L95" s="91" t="s">
        <v>4</v>
      </c>
      <c r="M95" s="91" t="s">
        <v>10</v>
      </c>
      <c r="N95" s="91" t="s">
        <v>11</v>
      </c>
      <c r="O95" s="91" t="s">
        <v>12</v>
      </c>
      <c r="P95" s="91" t="s">
        <v>15</v>
      </c>
      <c r="Q95" s="91" t="s">
        <v>13</v>
      </c>
    </row>
    <row r="96" spans="1:21" ht="15" customHeight="1" x14ac:dyDescent="0.25">
      <c r="A96" s="71" t="s">
        <v>8</v>
      </c>
      <c r="B96" s="132"/>
      <c r="F96" s="96" t="s">
        <v>255</v>
      </c>
      <c r="L96" s="90" t="s">
        <v>14</v>
      </c>
      <c r="M96" s="90">
        <v>20</v>
      </c>
      <c r="N96" s="90">
        <v>9</v>
      </c>
      <c r="O96" s="90"/>
      <c r="P96" s="90"/>
      <c r="Q96" s="90">
        <f>SUM(M96:O96)</f>
        <v>29</v>
      </c>
      <c r="U96" s="146"/>
    </row>
    <row r="97" spans="1:19" ht="15" customHeight="1" x14ac:dyDescent="0.25">
      <c r="B97" s="132"/>
      <c r="F97" s="96"/>
      <c r="L97" s="90" t="s">
        <v>11</v>
      </c>
      <c r="M97" s="90">
        <v>2</v>
      </c>
      <c r="N97" s="90">
        <v>1</v>
      </c>
      <c r="O97" s="90"/>
      <c r="P97" s="90"/>
      <c r="Q97" s="90">
        <f>SUM(M97:O97)</f>
        <v>3</v>
      </c>
    </row>
    <row r="98" spans="1:19" ht="15" customHeight="1" x14ac:dyDescent="0.25">
      <c r="B98" s="147"/>
      <c r="F98" s="96"/>
      <c r="L98" s="95" t="s">
        <v>13</v>
      </c>
      <c r="M98" s="95">
        <f>SUM(M96:M97)</f>
        <v>22</v>
      </c>
      <c r="N98" s="95">
        <f t="shared" ref="N98:Q98" si="1">SUM(N96:N97)</f>
        <v>10</v>
      </c>
      <c r="O98" s="95">
        <f t="shared" si="1"/>
        <v>0</v>
      </c>
      <c r="P98" s="95"/>
      <c r="Q98" s="95">
        <f t="shared" si="1"/>
        <v>32</v>
      </c>
    </row>
    <row r="99" spans="1:19" ht="15" customHeight="1" x14ac:dyDescent="0.25">
      <c r="B99" s="147"/>
      <c r="F99" s="96"/>
      <c r="O99" s="148" t="s">
        <v>9</v>
      </c>
      <c r="P99" s="148"/>
    </row>
    <row r="100" spans="1:19" ht="15" customHeight="1" x14ac:dyDescent="0.25">
      <c r="A100" s="71" t="s">
        <v>24</v>
      </c>
      <c r="F100" s="106" t="s">
        <v>262</v>
      </c>
    </row>
    <row r="104" spans="1:19" x14ac:dyDescent="0.25">
      <c r="R104" s="149"/>
    </row>
    <row r="107" spans="1:19" x14ac:dyDescent="0.25">
      <c r="P107" s="84"/>
      <c r="Q107" s="96"/>
      <c r="R107" s="96"/>
      <c r="S107" s="78"/>
    </row>
    <row r="108" spans="1:19" x14ac:dyDescent="0.25">
      <c r="P108" s="96"/>
      <c r="Q108" s="96"/>
      <c r="R108" s="96"/>
      <c r="S108" s="109"/>
    </row>
    <row r="109" spans="1:19" x14ac:dyDescent="0.25">
      <c r="P109" s="96"/>
      <c r="Q109" s="96"/>
      <c r="R109" s="96"/>
      <c r="S109" s="78"/>
    </row>
    <row r="112" spans="1:19" x14ac:dyDescent="0.25">
      <c r="A112" s="70" t="s">
        <v>275</v>
      </c>
      <c r="B112" s="70"/>
      <c r="C112" s="70"/>
      <c r="D112" s="70"/>
      <c r="E112" s="70"/>
      <c r="F112" s="70"/>
      <c r="G112" s="70"/>
      <c r="H112" s="70"/>
      <c r="I112" s="70"/>
      <c r="J112" s="70"/>
    </row>
    <row r="113" spans="1:10" x14ac:dyDescent="0.25">
      <c r="A113" s="70" t="s">
        <v>0</v>
      </c>
      <c r="B113" s="70"/>
      <c r="C113" s="70"/>
      <c r="D113" s="70"/>
      <c r="E113" s="70"/>
      <c r="F113" s="70"/>
      <c r="G113" s="70"/>
      <c r="H113" s="70"/>
      <c r="I113" s="70"/>
      <c r="J113" s="70"/>
    </row>
    <row r="114" spans="1:10" x14ac:dyDescent="0.25">
      <c r="A114" s="70" t="s">
        <v>243</v>
      </c>
      <c r="B114" s="70"/>
      <c r="C114" s="70"/>
      <c r="D114" s="70"/>
      <c r="E114" s="70"/>
      <c r="F114" s="70"/>
      <c r="G114" s="70"/>
      <c r="H114" s="70"/>
      <c r="I114" s="70"/>
      <c r="J114" s="70"/>
    </row>
    <row r="115" spans="1:10" x14ac:dyDescent="0.25">
      <c r="A115" s="72" t="s">
        <v>256</v>
      </c>
      <c r="C115" s="133"/>
      <c r="D115" s="100"/>
      <c r="E115" s="96"/>
      <c r="F115" s="96"/>
      <c r="G115" s="96"/>
      <c r="H115" s="96"/>
      <c r="I115" s="96"/>
      <c r="J115" s="96"/>
    </row>
    <row r="116" spans="1:10" ht="18.95" customHeight="1" x14ac:dyDescent="0.25">
      <c r="A116" s="122" t="s">
        <v>1</v>
      </c>
      <c r="B116" s="122" t="s">
        <v>2</v>
      </c>
      <c r="C116" s="122" t="s">
        <v>3</v>
      </c>
      <c r="D116" s="122" t="s">
        <v>4</v>
      </c>
      <c r="E116" s="123" t="s">
        <v>5</v>
      </c>
      <c r="F116" s="124"/>
      <c r="G116" s="124"/>
      <c r="H116" s="124"/>
      <c r="I116" s="124"/>
      <c r="J116" s="125"/>
    </row>
    <row r="117" spans="1:10" ht="65.099999999999994" customHeight="1" x14ac:dyDescent="0.25">
      <c r="A117" s="126"/>
      <c r="B117" s="126"/>
      <c r="C117" s="126"/>
      <c r="D117" s="126"/>
      <c r="E117" s="127" t="s">
        <v>268</v>
      </c>
      <c r="F117" s="127" t="s">
        <v>269</v>
      </c>
      <c r="G117" s="127" t="s">
        <v>270</v>
      </c>
      <c r="H117" s="127" t="s">
        <v>271</v>
      </c>
      <c r="I117" s="127" t="s">
        <v>272</v>
      </c>
      <c r="J117" s="127" t="s">
        <v>273</v>
      </c>
    </row>
    <row r="118" spans="1:10" ht="20.100000000000001" customHeight="1" x14ac:dyDescent="0.25">
      <c r="A118" s="73">
        <v>1</v>
      </c>
      <c r="B118" s="73">
        <v>41235755</v>
      </c>
      <c r="C118" s="79" t="s">
        <v>188</v>
      </c>
      <c r="D118" s="98" t="s">
        <v>25</v>
      </c>
      <c r="E118" s="107"/>
      <c r="F118" s="76"/>
      <c r="G118" s="76"/>
      <c r="H118" s="76"/>
      <c r="I118" s="76"/>
      <c r="J118" s="76"/>
    </row>
    <row r="119" spans="1:10" ht="20.100000000000001" customHeight="1" x14ac:dyDescent="0.25">
      <c r="A119" s="73">
        <v>2</v>
      </c>
      <c r="B119" s="73">
        <v>41235756</v>
      </c>
      <c r="C119" s="79" t="s">
        <v>164</v>
      </c>
      <c r="D119" s="98" t="s">
        <v>25</v>
      </c>
      <c r="E119" s="107"/>
      <c r="F119" s="76"/>
      <c r="G119" s="76"/>
      <c r="H119" s="76"/>
      <c r="I119" s="76"/>
      <c r="J119" s="76"/>
    </row>
    <row r="120" spans="1:10" ht="20.100000000000001" customHeight="1" x14ac:dyDescent="0.25">
      <c r="A120" s="73">
        <v>3</v>
      </c>
      <c r="B120" s="73">
        <v>41235757</v>
      </c>
      <c r="C120" s="79" t="s">
        <v>165</v>
      </c>
      <c r="D120" s="98" t="s">
        <v>25</v>
      </c>
      <c r="E120" s="107"/>
      <c r="F120" s="76"/>
      <c r="G120" s="76"/>
      <c r="H120" s="76"/>
      <c r="I120" s="76"/>
      <c r="J120" s="76"/>
    </row>
    <row r="121" spans="1:10" ht="20.100000000000001" customHeight="1" x14ac:dyDescent="0.25">
      <c r="A121" s="73">
        <v>4</v>
      </c>
      <c r="B121" s="73">
        <v>41235758</v>
      </c>
      <c r="C121" s="89" t="s">
        <v>166</v>
      </c>
      <c r="D121" s="98" t="s">
        <v>25</v>
      </c>
      <c r="E121" s="107"/>
      <c r="F121" s="76"/>
      <c r="G121" s="76"/>
      <c r="H121" s="76"/>
      <c r="I121" s="76"/>
      <c r="J121" s="76"/>
    </row>
    <row r="122" spans="1:10" ht="20.100000000000001" customHeight="1" x14ac:dyDescent="0.25">
      <c r="A122" s="73">
        <v>5</v>
      </c>
      <c r="B122" s="73">
        <v>41235759</v>
      </c>
      <c r="C122" s="79" t="s">
        <v>213</v>
      </c>
      <c r="D122" s="98" t="s">
        <v>25</v>
      </c>
      <c r="E122" s="107"/>
      <c r="F122" s="76"/>
      <c r="G122" s="76"/>
      <c r="H122" s="76"/>
      <c r="I122" s="76"/>
      <c r="J122" s="76"/>
    </row>
    <row r="123" spans="1:10" ht="20.100000000000001" customHeight="1" x14ac:dyDescent="0.25">
      <c r="A123" s="73">
        <v>6</v>
      </c>
      <c r="B123" s="73">
        <v>41235760</v>
      </c>
      <c r="C123" s="79" t="s">
        <v>167</v>
      </c>
      <c r="D123" s="98" t="s">
        <v>25</v>
      </c>
      <c r="E123" s="107"/>
      <c r="F123" s="76"/>
      <c r="G123" s="76"/>
      <c r="H123" s="76"/>
      <c r="I123" s="76"/>
      <c r="J123" s="76"/>
    </row>
    <row r="124" spans="1:10" ht="20.100000000000001" customHeight="1" x14ac:dyDescent="0.25">
      <c r="A124" s="73">
        <v>7</v>
      </c>
      <c r="B124" s="73">
        <v>41235762</v>
      </c>
      <c r="C124" s="89" t="s">
        <v>168</v>
      </c>
      <c r="D124" s="98" t="s">
        <v>39</v>
      </c>
      <c r="E124" s="107"/>
      <c r="F124" s="76"/>
      <c r="G124" s="76"/>
      <c r="H124" s="76"/>
      <c r="I124" s="76"/>
      <c r="J124" s="76"/>
    </row>
    <row r="125" spans="1:10" ht="20.100000000000001" customHeight="1" x14ac:dyDescent="0.25">
      <c r="A125" s="73">
        <v>8</v>
      </c>
      <c r="B125" s="73">
        <v>41235763</v>
      </c>
      <c r="C125" s="79" t="s">
        <v>169</v>
      </c>
      <c r="D125" s="98" t="s">
        <v>39</v>
      </c>
      <c r="E125" s="107"/>
      <c r="F125" s="76"/>
      <c r="G125" s="76"/>
      <c r="H125" s="76"/>
      <c r="I125" s="76"/>
      <c r="J125" s="76"/>
    </row>
    <row r="126" spans="1:10" ht="20.100000000000001" customHeight="1" x14ac:dyDescent="0.25">
      <c r="A126" s="73">
        <v>9</v>
      </c>
      <c r="B126" s="73">
        <v>41235764</v>
      </c>
      <c r="C126" s="79" t="s">
        <v>170</v>
      </c>
      <c r="D126" s="98" t="s">
        <v>25</v>
      </c>
      <c r="E126" s="107"/>
      <c r="F126" s="76"/>
      <c r="G126" s="76"/>
      <c r="H126" s="76"/>
      <c r="I126" s="76"/>
      <c r="J126" s="76"/>
    </row>
    <row r="127" spans="1:10" ht="20.100000000000001" customHeight="1" x14ac:dyDescent="0.25">
      <c r="A127" s="73">
        <v>10</v>
      </c>
      <c r="B127" s="73">
        <v>41235765</v>
      </c>
      <c r="C127" s="79" t="s">
        <v>171</v>
      </c>
      <c r="D127" s="98" t="s">
        <v>39</v>
      </c>
      <c r="E127" s="107"/>
      <c r="F127" s="76"/>
      <c r="G127" s="76"/>
      <c r="H127" s="76"/>
      <c r="I127" s="76"/>
      <c r="J127" s="76"/>
    </row>
    <row r="128" spans="1:10" ht="20.100000000000001" customHeight="1" x14ac:dyDescent="0.25">
      <c r="A128" s="73">
        <v>11</v>
      </c>
      <c r="B128" s="73">
        <v>41235766</v>
      </c>
      <c r="C128" s="79" t="s">
        <v>172</v>
      </c>
      <c r="D128" s="98" t="s">
        <v>27</v>
      </c>
      <c r="E128" s="107"/>
      <c r="F128" s="76"/>
      <c r="G128" s="76"/>
      <c r="H128" s="76"/>
      <c r="I128" s="76"/>
      <c r="J128" s="76"/>
    </row>
    <row r="129" spans="1:10" ht="20.100000000000001" customHeight="1" x14ac:dyDescent="0.25">
      <c r="A129" s="73">
        <v>12</v>
      </c>
      <c r="B129" s="73">
        <v>41235767</v>
      </c>
      <c r="C129" s="108" t="s">
        <v>204</v>
      </c>
      <c r="D129" s="98" t="s">
        <v>25</v>
      </c>
      <c r="E129" s="107"/>
      <c r="F129" s="76"/>
      <c r="G129" s="76"/>
      <c r="H129" s="76"/>
      <c r="I129" s="76"/>
      <c r="J129" s="76"/>
    </row>
    <row r="130" spans="1:10" ht="20.100000000000001" customHeight="1" x14ac:dyDescent="0.25">
      <c r="A130" s="73">
        <v>13</v>
      </c>
      <c r="B130" s="73">
        <v>41235768</v>
      </c>
      <c r="C130" s="79" t="s">
        <v>173</v>
      </c>
      <c r="D130" s="98" t="s">
        <v>37</v>
      </c>
      <c r="E130" s="107"/>
      <c r="F130" s="76"/>
      <c r="G130" s="76"/>
      <c r="H130" s="76"/>
      <c r="I130" s="76"/>
      <c r="J130" s="76"/>
    </row>
    <row r="131" spans="1:10" ht="20.100000000000001" customHeight="1" x14ac:dyDescent="0.25">
      <c r="A131" s="73">
        <v>14</v>
      </c>
      <c r="B131" s="73">
        <v>41235769</v>
      </c>
      <c r="C131" s="79" t="s">
        <v>174</v>
      </c>
      <c r="D131" s="98" t="s">
        <v>25</v>
      </c>
      <c r="E131" s="107"/>
      <c r="F131" s="76"/>
      <c r="G131" s="76"/>
      <c r="H131" s="76"/>
      <c r="I131" s="76"/>
      <c r="J131" s="76"/>
    </row>
    <row r="132" spans="1:10" ht="20.100000000000001" customHeight="1" x14ac:dyDescent="0.25">
      <c r="A132" s="73">
        <v>15</v>
      </c>
      <c r="B132" s="73">
        <v>41235770</v>
      </c>
      <c r="C132" s="79" t="s">
        <v>205</v>
      </c>
      <c r="D132" s="98" t="s">
        <v>25</v>
      </c>
      <c r="E132" s="107"/>
      <c r="F132" s="76"/>
      <c r="G132" s="76"/>
      <c r="H132" s="76"/>
      <c r="I132" s="76"/>
      <c r="J132" s="76"/>
    </row>
    <row r="133" spans="1:10" ht="20.100000000000001" customHeight="1" x14ac:dyDescent="0.25">
      <c r="A133" s="73">
        <v>16</v>
      </c>
      <c r="B133" s="73">
        <v>41235771</v>
      </c>
      <c r="C133" s="89" t="s">
        <v>153</v>
      </c>
      <c r="D133" s="98" t="s">
        <v>25</v>
      </c>
      <c r="E133" s="107"/>
      <c r="F133" s="76"/>
      <c r="G133" s="76"/>
      <c r="H133" s="76"/>
      <c r="I133" s="76"/>
      <c r="J133" s="76"/>
    </row>
    <row r="134" spans="1:10" ht="20.100000000000001" customHeight="1" x14ac:dyDescent="0.25">
      <c r="A134" s="73">
        <v>17</v>
      </c>
      <c r="B134" s="73">
        <v>41235772</v>
      </c>
      <c r="C134" s="89" t="s">
        <v>154</v>
      </c>
      <c r="D134" s="98" t="s">
        <v>25</v>
      </c>
      <c r="E134" s="107"/>
      <c r="F134" s="76"/>
      <c r="G134" s="76"/>
      <c r="H134" s="76"/>
      <c r="I134" s="76"/>
      <c r="J134" s="76"/>
    </row>
    <row r="135" spans="1:10" ht="20.100000000000001" customHeight="1" x14ac:dyDescent="0.25">
      <c r="A135" s="73">
        <v>18</v>
      </c>
      <c r="B135" s="73">
        <v>41235773</v>
      </c>
      <c r="C135" s="79" t="s">
        <v>176</v>
      </c>
      <c r="D135" s="98" t="s">
        <v>25</v>
      </c>
      <c r="E135" s="107"/>
      <c r="F135" s="76"/>
      <c r="G135" s="76"/>
      <c r="H135" s="76"/>
      <c r="I135" s="76"/>
      <c r="J135" s="76"/>
    </row>
    <row r="136" spans="1:10" ht="20.100000000000001" customHeight="1" x14ac:dyDescent="0.25">
      <c r="A136" s="73">
        <v>19</v>
      </c>
      <c r="B136" s="73">
        <v>41235774</v>
      </c>
      <c r="C136" s="89" t="s">
        <v>161</v>
      </c>
      <c r="D136" s="98" t="s">
        <v>25</v>
      </c>
      <c r="E136" s="107"/>
      <c r="F136" s="76"/>
      <c r="G136" s="76"/>
      <c r="H136" s="76"/>
      <c r="I136" s="76"/>
      <c r="J136" s="76"/>
    </row>
    <row r="137" spans="1:10" ht="20.100000000000001" customHeight="1" x14ac:dyDescent="0.25">
      <c r="A137" s="73">
        <v>20</v>
      </c>
      <c r="B137" s="73">
        <v>41235777</v>
      </c>
      <c r="C137" s="79" t="s">
        <v>206</v>
      </c>
      <c r="D137" s="98" t="s">
        <v>25</v>
      </c>
      <c r="E137" s="107"/>
      <c r="F137" s="76"/>
      <c r="G137" s="76"/>
      <c r="H137" s="76"/>
      <c r="I137" s="76"/>
      <c r="J137" s="76"/>
    </row>
    <row r="138" spans="1:10" ht="20.100000000000001" customHeight="1" x14ac:dyDescent="0.25">
      <c r="A138" s="73">
        <v>21</v>
      </c>
      <c r="B138" s="73">
        <v>41235778</v>
      </c>
      <c r="C138" s="79" t="s">
        <v>178</v>
      </c>
      <c r="D138" s="98" t="s">
        <v>108</v>
      </c>
      <c r="E138" s="107"/>
      <c r="F138" s="76"/>
      <c r="G138" s="76"/>
      <c r="H138" s="76"/>
      <c r="I138" s="76"/>
      <c r="J138" s="76"/>
    </row>
    <row r="139" spans="1:10" ht="20.100000000000001" customHeight="1" x14ac:dyDescent="0.25">
      <c r="A139" s="73">
        <v>22</v>
      </c>
      <c r="B139" s="73">
        <v>41235779</v>
      </c>
      <c r="C139" s="79" t="s">
        <v>179</v>
      </c>
      <c r="D139" s="98" t="s">
        <v>180</v>
      </c>
      <c r="E139" s="107"/>
      <c r="F139" s="76"/>
      <c r="G139" s="76"/>
      <c r="H139" s="76"/>
      <c r="I139" s="76"/>
      <c r="J139" s="76"/>
    </row>
    <row r="140" spans="1:10" ht="20.100000000000001" customHeight="1" x14ac:dyDescent="0.25">
      <c r="A140" s="73">
        <v>23</v>
      </c>
      <c r="B140" s="73">
        <v>41235780</v>
      </c>
      <c r="C140" s="89" t="s">
        <v>181</v>
      </c>
      <c r="D140" s="98" t="s">
        <v>180</v>
      </c>
      <c r="E140" s="107"/>
      <c r="F140" s="76"/>
      <c r="G140" s="76"/>
      <c r="H140" s="76"/>
      <c r="I140" s="76"/>
      <c r="J140" s="76"/>
    </row>
    <row r="141" spans="1:10" ht="20.100000000000001" customHeight="1" x14ac:dyDescent="0.25">
      <c r="A141" s="73">
        <v>24</v>
      </c>
      <c r="B141" s="73">
        <v>41235781</v>
      </c>
      <c r="C141" s="89" t="s">
        <v>182</v>
      </c>
      <c r="D141" s="98" t="s">
        <v>39</v>
      </c>
      <c r="E141" s="107"/>
      <c r="F141" s="76"/>
      <c r="G141" s="76"/>
      <c r="H141" s="76"/>
      <c r="I141" s="76"/>
      <c r="J141" s="76"/>
    </row>
    <row r="142" spans="1:10" ht="20.100000000000001" customHeight="1" x14ac:dyDescent="0.25">
      <c r="A142" s="73">
        <v>25</v>
      </c>
      <c r="B142" s="73">
        <v>41235782</v>
      </c>
      <c r="C142" s="79" t="s">
        <v>183</v>
      </c>
      <c r="D142" s="98" t="s">
        <v>39</v>
      </c>
      <c r="E142" s="107"/>
      <c r="F142" s="76"/>
      <c r="G142" s="76"/>
      <c r="H142" s="76"/>
      <c r="I142" s="76"/>
      <c r="J142" s="76"/>
    </row>
    <row r="143" spans="1:10" ht="20.100000000000001" customHeight="1" x14ac:dyDescent="0.25">
      <c r="A143" s="73">
        <v>26</v>
      </c>
      <c r="B143" s="73">
        <v>41235783</v>
      </c>
      <c r="C143" s="89" t="s">
        <v>184</v>
      </c>
      <c r="D143" s="98" t="s">
        <v>25</v>
      </c>
      <c r="E143" s="107"/>
      <c r="F143" s="76"/>
      <c r="G143" s="76"/>
      <c r="H143" s="76"/>
      <c r="I143" s="76"/>
      <c r="J143" s="76"/>
    </row>
    <row r="144" spans="1:10" ht="20.100000000000001" customHeight="1" x14ac:dyDescent="0.25">
      <c r="A144" s="73">
        <v>27</v>
      </c>
      <c r="B144" s="73">
        <v>41235784</v>
      </c>
      <c r="C144" s="79" t="s">
        <v>242</v>
      </c>
      <c r="D144" s="98" t="s">
        <v>39</v>
      </c>
      <c r="E144" s="107"/>
      <c r="F144" s="76"/>
      <c r="G144" s="76"/>
      <c r="H144" s="76"/>
      <c r="I144" s="76"/>
      <c r="J144" s="76"/>
    </row>
    <row r="145" spans="1:21" ht="20.100000000000001" customHeight="1" x14ac:dyDescent="0.25">
      <c r="A145" s="73">
        <v>28</v>
      </c>
      <c r="B145" s="73">
        <v>41235785</v>
      </c>
      <c r="C145" s="89" t="s">
        <v>185</v>
      </c>
      <c r="D145" s="98" t="s">
        <v>39</v>
      </c>
      <c r="E145" s="107"/>
      <c r="F145" s="76"/>
      <c r="G145" s="76"/>
      <c r="H145" s="76"/>
      <c r="I145" s="76"/>
      <c r="J145" s="76"/>
    </row>
    <row r="146" spans="1:21" ht="20.100000000000001" customHeight="1" x14ac:dyDescent="0.25">
      <c r="A146" s="73">
        <v>29</v>
      </c>
      <c r="B146" s="73">
        <v>41235711</v>
      </c>
      <c r="C146" s="89" t="s">
        <v>133</v>
      </c>
      <c r="D146" s="98" t="s">
        <v>25</v>
      </c>
      <c r="E146" s="76"/>
      <c r="F146" s="76"/>
      <c r="G146" s="76"/>
      <c r="H146" s="76"/>
      <c r="I146" s="76"/>
      <c r="J146" s="76"/>
    </row>
    <row r="147" spans="1:21" ht="20.100000000000001" customHeight="1" x14ac:dyDescent="0.25">
      <c r="A147" s="118"/>
      <c r="B147" s="73"/>
      <c r="C147" s="108"/>
      <c r="D147" s="120"/>
      <c r="E147" s="76"/>
      <c r="F147" s="76"/>
      <c r="G147" s="76"/>
      <c r="H147" s="76"/>
      <c r="I147" s="76"/>
      <c r="J147" s="76"/>
    </row>
    <row r="148" spans="1:21" x14ac:dyDescent="0.25">
      <c r="A148" s="105"/>
      <c r="B148" s="100"/>
      <c r="C148" s="84"/>
      <c r="D148" s="78"/>
      <c r="E148" s="96"/>
      <c r="F148" s="96"/>
      <c r="G148" s="96"/>
      <c r="H148" s="96"/>
      <c r="I148" s="96"/>
      <c r="J148" s="96"/>
      <c r="S148" s="86"/>
      <c r="T148" s="109"/>
      <c r="U148" s="109"/>
    </row>
    <row r="149" spans="1:21" x14ac:dyDescent="0.25">
      <c r="A149" s="103" t="s">
        <v>7</v>
      </c>
      <c r="B149" s="132"/>
      <c r="F149" s="71" t="s">
        <v>274</v>
      </c>
      <c r="S149" s="84"/>
      <c r="T149" s="78"/>
      <c r="U149" s="78"/>
    </row>
    <row r="150" spans="1:21" x14ac:dyDescent="0.25">
      <c r="A150" s="71" t="s">
        <v>8</v>
      </c>
      <c r="B150" s="132"/>
      <c r="F150" s="96" t="s">
        <v>257</v>
      </c>
      <c r="S150" s="86"/>
      <c r="T150" s="109"/>
      <c r="U150" s="109"/>
    </row>
    <row r="151" spans="1:21" x14ac:dyDescent="0.25">
      <c r="B151" s="132"/>
      <c r="F151" s="96"/>
      <c r="S151" s="84"/>
      <c r="T151" s="78"/>
      <c r="U151" s="78"/>
    </row>
    <row r="152" spans="1:21" x14ac:dyDescent="0.25">
      <c r="B152" s="147"/>
      <c r="F152" s="96"/>
    </row>
    <row r="153" spans="1:21" x14ac:dyDescent="0.25">
      <c r="B153" s="147"/>
      <c r="F153" s="96"/>
      <c r="M153" s="91" t="s">
        <v>4</v>
      </c>
      <c r="N153" s="91" t="s">
        <v>10</v>
      </c>
      <c r="O153" s="91" t="s">
        <v>11</v>
      </c>
      <c r="P153" s="91" t="s">
        <v>12</v>
      </c>
      <c r="Q153" s="91" t="s">
        <v>15</v>
      </c>
      <c r="R153" s="91" t="s">
        <v>13</v>
      </c>
    </row>
    <row r="154" spans="1:21" x14ac:dyDescent="0.25">
      <c r="A154" s="71" t="s">
        <v>24</v>
      </c>
      <c r="F154" s="106" t="s">
        <v>263</v>
      </c>
      <c r="M154" s="90" t="s">
        <v>14</v>
      </c>
      <c r="N154" s="90">
        <v>17</v>
      </c>
      <c r="O154" s="90">
        <v>7</v>
      </c>
      <c r="P154" s="90">
        <v>2</v>
      </c>
      <c r="Q154" s="90">
        <v>1</v>
      </c>
      <c r="R154" s="90">
        <f>SUM(N154:Q154)</f>
        <v>27</v>
      </c>
    </row>
    <row r="155" spans="1:21" x14ac:dyDescent="0.25">
      <c r="B155" s="100"/>
      <c r="M155" s="90" t="s">
        <v>11</v>
      </c>
      <c r="N155" s="90">
        <v>1</v>
      </c>
      <c r="O155" s="90">
        <v>1</v>
      </c>
      <c r="P155" s="90"/>
      <c r="Q155" s="90"/>
      <c r="R155" s="90">
        <f>SUM(N155:P155)</f>
        <v>2</v>
      </c>
    </row>
    <row r="156" spans="1:21" x14ac:dyDescent="0.25">
      <c r="B156" s="100"/>
      <c r="M156" s="95" t="s">
        <v>13</v>
      </c>
      <c r="N156" s="95">
        <f>SUM(N154:N155)</f>
        <v>18</v>
      </c>
      <c r="O156" s="95">
        <f t="shared" ref="O156:P156" si="2">SUM(O154:O155)</f>
        <v>8</v>
      </c>
      <c r="P156" s="95">
        <f t="shared" si="2"/>
        <v>2</v>
      </c>
      <c r="Q156" s="95"/>
      <c r="R156" s="95">
        <f t="shared" ref="R156" si="3">SUM(R154:R155)</f>
        <v>29</v>
      </c>
    </row>
    <row r="159" spans="1:21" x14ac:dyDescent="0.25">
      <c r="M159" s="71">
        <v>28</v>
      </c>
      <c r="S159" s="71" t="s">
        <v>22</v>
      </c>
    </row>
    <row r="160" spans="1:21" x14ac:dyDescent="0.25">
      <c r="M160" s="71">
        <v>30</v>
      </c>
      <c r="S160" s="150" t="s">
        <v>23</v>
      </c>
      <c r="T160" s="149">
        <v>55</v>
      </c>
    </row>
    <row r="161" spans="13:20" x14ac:dyDescent="0.25">
      <c r="M161" s="119">
        <v>29</v>
      </c>
      <c r="S161" s="150" t="s">
        <v>16</v>
      </c>
      <c r="T161" s="149">
        <v>55</v>
      </c>
    </row>
    <row r="162" spans="13:20" x14ac:dyDescent="0.25">
      <c r="M162" s="71">
        <f>SUM(M159:M161)</f>
        <v>87</v>
      </c>
      <c r="S162" s="150" t="s">
        <v>17</v>
      </c>
      <c r="T162" s="149">
        <v>87</v>
      </c>
    </row>
    <row r="163" spans="13:20" x14ac:dyDescent="0.25">
      <c r="T163" s="151">
        <f>SUM(T160:T162)</f>
        <v>197</v>
      </c>
    </row>
  </sheetData>
  <mergeCells count="24">
    <mergeCell ref="A112:J112"/>
    <mergeCell ref="A113:J113"/>
    <mergeCell ref="A114:J114"/>
    <mergeCell ref="A116:A117"/>
    <mergeCell ref="B116:B117"/>
    <mergeCell ref="C116:C117"/>
    <mergeCell ref="D116:D117"/>
    <mergeCell ref="E116:J116"/>
    <mergeCell ref="A57:J57"/>
    <mergeCell ref="A58:J58"/>
    <mergeCell ref="A59:J59"/>
    <mergeCell ref="A61:A62"/>
    <mergeCell ref="B61:B62"/>
    <mergeCell ref="C61:C62"/>
    <mergeCell ref="D61:D62"/>
    <mergeCell ref="E61:J61"/>
    <mergeCell ref="A1:J1"/>
    <mergeCell ref="A2:J2"/>
    <mergeCell ref="A3:J3"/>
    <mergeCell ref="A5:A6"/>
    <mergeCell ref="B5:B6"/>
    <mergeCell ref="C5:C6"/>
    <mergeCell ref="D5:D6"/>
    <mergeCell ref="E5:J5"/>
  </mergeCells>
  <conditionalFormatting sqref="C85 C20 C88">
    <cfRule type="duplicateValues" dxfId="7" priority="3"/>
  </conditionalFormatting>
  <conditionalFormatting sqref="C29 C31:C32">
    <cfRule type="duplicateValues" dxfId="6" priority="4"/>
  </conditionalFormatting>
  <conditionalFormatting sqref="C27">
    <cfRule type="duplicateValues" dxfId="5" priority="2"/>
  </conditionalFormatting>
  <conditionalFormatting sqref="C140 C143">
    <cfRule type="duplicateValues" dxfId="4" priority="1"/>
  </conditionalFormatting>
  <pageMargins left="0.54" right="0.47" top="0.35" bottom="0.53" header="0.3" footer="0.3"/>
  <pageSetup paperSize="5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V163"/>
  <sheetViews>
    <sheetView zoomScale="80" zoomScaleNormal="80" workbookViewId="0">
      <selection activeCell="F16" sqref="F16"/>
    </sheetView>
  </sheetViews>
  <sheetFormatPr defaultRowHeight="15" x14ac:dyDescent="0.25"/>
  <cols>
    <col min="1" max="1" width="4.5703125" style="3" customWidth="1"/>
    <col min="2" max="2" width="34" style="3" customWidth="1"/>
    <col min="3" max="3" width="10.140625" style="3" customWidth="1"/>
    <col min="4" max="11" width="5.7109375" style="3" customWidth="1"/>
    <col min="12" max="12" width="9.140625" style="3"/>
    <col min="13" max="18" width="5.7109375" style="3" customWidth="1"/>
    <col min="19" max="19" width="9.140625" style="3"/>
    <col min="20" max="20" width="15.28515625" style="3" customWidth="1"/>
    <col min="21" max="16384" width="9.140625" style="3"/>
  </cols>
  <sheetData>
    <row r="1" spans="1:17" x14ac:dyDescent="0.25">
      <c r="A1" s="63" t="s">
        <v>235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7" x14ac:dyDescent="0.25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7" x14ac:dyDescent="0.25">
      <c r="A3" s="63" t="s">
        <v>226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7" x14ac:dyDescent="0.25">
      <c r="A4" s="17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7" ht="20.100000000000001" customHeight="1" x14ac:dyDescent="0.25">
      <c r="A5" s="64" t="s">
        <v>1</v>
      </c>
      <c r="B5" s="64" t="s">
        <v>3</v>
      </c>
      <c r="C5" s="64" t="s">
        <v>236</v>
      </c>
      <c r="D5" s="67" t="s">
        <v>237</v>
      </c>
      <c r="E5" s="68"/>
      <c r="F5" s="68"/>
      <c r="G5" s="68"/>
      <c r="H5" s="68"/>
      <c r="I5" s="68"/>
      <c r="J5" s="68"/>
      <c r="K5" s="69"/>
    </row>
    <row r="6" spans="1:17" ht="20.100000000000001" customHeight="1" x14ac:dyDescent="0.25">
      <c r="A6" s="65"/>
      <c r="B6" s="66"/>
      <c r="C6" s="66"/>
      <c r="D6" s="45"/>
      <c r="E6" s="45"/>
      <c r="F6" s="45"/>
      <c r="G6" s="45"/>
      <c r="H6" s="45"/>
      <c r="I6" s="45"/>
      <c r="J6" s="45"/>
      <c r="K6" s="45"/>
    </row>
    <row r="7" spans="1:17" ht="21.95" customHeight="1" x14ac:dyDescent="0.25">
      <c r="A7" s="4"/>
      <c r="B7" s="51"/>
      <c r="C7" s="56"/>
      <c r="D7" s="48"/>
      <c r="E7" s="5"/>
      <c r="F7" s="5"/>
      <c r="G7" s="5"/>
      <c r="H7" s="5"/>
      <c r="I7" s="5"/>
      <c r="J7" s="5"/>
      <c r="K7" s="5"/>
    </row>
    <row r="8" spans="1:17" ht="21.95" customHeight="1" x14ac:dyDescent="0.25">
      <c r="A8" s="4"/>
      <c r="B8" s="51"/>
      <c r="C8" s="56"/>
      <c r="D8" s="48"/>
      <c r="E8" s="5"/>
      <c r="F8" s="5"/>
      <c r="G8" s="5"/>
      <c r="H8" s="5"/>
      <c r="I8" s="5"/>
      <c r="J8" s="5"/>
      <c r="K8" s="5"/>
    </row>
    <row r="9" spans="1:17" ht="21.95" customHeight="1" x14ac:dyDescent="0.25">
      <c r="A9" s="4"/>
      <c r="B9" s="51"/>
      <c r="C9" s="56"/>
      <c r="D9" s="48"/>
      <c r="E9" s="5"/>
      <c r="F9" s="5"/>
      <c r="G9" s="5"/>
      <c r="H9" s="5"/>
      <c r="I9" s="5"/>
      <c r="J9" s="5"/>
      <c r="K9" s="5"/>
    </row>
    <row r="10" spans="1:17" ht="21.95" customHeight="1" x14ac:dyDescent="0.25">
      <c r="A10" s="4"/>
      <c r="B10" s="54"/>
      <c r="C10" s="56"/>
      <c r="D10" s="48"/>
      <c r="E10" s="5"/>
      <c r="F10" s="5"/>
      <c r="G10" s="5"/>
      <c r="H10" s="5"/>
      <c r="I10" s="5"/>
      <c r="J10" s="5"/>
      <c r="K10" s="5"/>
    </row>
    <row r="11" spans="1:17" ht="21.95" customHeight="1" x14ac:dyDescent="0.25">
      <c r="A11" s="4"/>
      <c r="B11" s="51"/>
      <c r="C11" s="56"/>
      <c r="D11" s="48"/>
      <c r="E11" s="5"/>
      <c r="F11" s="5"/>
      <c r="G11" s="5"/>
      <c r="H11" s="5"/>
      <c r="I11" s="5"/>
      <c r="J11" s="5"/>
      <c r="K11" s="5"/>
    </row>
    <row r="12" spans="1:17" ht="21.95" customHeight="1" x14ac:dyDescent="0.25">
      <c r="A12" s="4"/>
      <c r="B12" s="54"/>
      <c r="C12" s="56"/>
      <c r="D12" s="48"/>
      <c r="E12" s="5"/>
      <c r="F12" s="5"/>
      <c r="G12" s="5"/>
      <c r="H12" s="5"/>
      <c r="I12" s="5"/>
      <c r="J12" s="5"/>
      <c r="K12" s="5"/>
    </row>
    <row r="13" spans="1:17" ht="21.95" customHeight="1" x14ac:dyDescent="0.25">
      <c r="A13" s="4"/>
      <c r="B13" s="54"/>
      <c r="C13" s="56"/>
      <c r="D13" s="48"/>
      <c r="E13" s="5"/>
      <c r="F13" s="5"/>
      <c r="G13" s="5"/>
      <c r="H13" s="5"/>
      <c r="I13" s="5"/>
      <c r="J13" s="5"/>
      <c r="K13" s="5"/>
      <c r="M13" s="2"/>
      <c r="N13" s="11"/>
      <c r="O13" s="23"/>
      <c r="P13" s="21"/>
      <c r="Q13" s="21"/>
    </row>
    <row r="14" spans="1:17" ht="21.95" customHeight="1" x14ac:dyDescent="0.25">
      <c r="A14" s="4"/>
      <c r="B14" s="54"/>
      <c r="C14" s="56"/>
      <c r="D14" s="48"/>
      <c r="E14" s="5"/>
      <c r="F14" s="5"/>
      <c r="G14" s="5"/>
      <c r="H14" s="5"/>
      <c r="I14" s="5"/>
      <c r="J14" s="5"/>
      <c r="K14" s="5"/>
    </row>
    <row r="15" spans="1:17" ht="21.95" customHeight="1" x14ac:dyDescent="0.25">
      <c r="A15" s="4"/>
      <c r="B15" s="60"/>
      <c r="C15" s="56"/>
      <c r="D15" s="48"/>
      <c r="E15" s="5"/>
      <c r="F15" s="5"/>
      <c r="G15" s="5"/>
      <c r="H15" s="5"/>
      <c r="I15" s="5"/>
      <c r="J15" s="5"/>
      <c r="K15" s="5"/>
      <c r="P15" s="12"/>
      <c r="Q15" s="12"/>
    </row>
    <row r="16" spans="1:17" ht="21.95" customHeight="1" x14ac:dyDescent="0.25">
      <c r="A16" s="4"/>
      <c r="B16" s="53"/>
      <c r="C16" s="57"/>
      <c r="D16" s="48"/>
      <c r="E16" s="5"/>
      <c r="F16" s="5"/>
      <c r="G16" s="5"/>
      <c r="H16" s="5"/>
      <c r="I16" s="5"/>
      <c r="J16" s="5"/>
      <c r="K16" s="5"/>
      <c r="P16" s="12"/>
      <c r="Q16" s="12"/>
    </row>
    <row r="17" spans="1:17" ht="21.95" customHeight="1" x14ac:dyDescent="0.25">
      <c r="A17" s="4"/>
      <c r="B17" s="54"/>
      <c r="C17" s="56"/>
      <c r="D17" s="48"/>
      <c r="E17" s="5"/>
      <c r="F17" s="5"/>
      <c r="G17" s="5"/>
      <c r="H17" s="5"/>
      <c r="I17" s="5"/>
      <c r="J17" s="5"/>
      <c r="K17" s="5"/>
      <c r="P17" s="12"/>
      <c r="Q17" s="12"/>
    </row>
    <row r="18" spans="1:17" ht="21.95" customHeight="1" x14ac:dyDescent="0.25">
      <c r="A18" s="4"/>
      <c r="B18" s="54"/>
      <c r="C18" s="56"/>
      <c r="D18" s="48"/>
      <c r="E18" s="5"/>
      <c r="F18" s="5"/>
      <c r="G18" s="5"/>
      <c r="H18" s="5"/>
      <c r="I18" s="5"/>
      <c r="J18" s="5"/>
      <c r="K18" s="5"/>
      <c r="P18" s="13"/>
      <c r="Q18" s="13"/>
    </row>
    <row r="19" spans="1:17" ht="21.95" customHeight="1" x14ac:dyDescent="0.25">
      <c r="A19" s="4"/>
      <c r="B19" s="51"/>
      <c r="C19" s="56"/>
      <c r="D19" s="48"/>
      <c r="E19" s="5"/>
      <c r="F19" s="5"/>
      <c r="G19" s="5"/>
      <c r="H19" s="5"/>
      <c r="I19" s="5"/>
      <c r="J19" s="5"/>
      <c r="K19" s="5"/>
      <c r="P19" s="14"/>
      <c r="Q19" s="14"/>
    </row>
    <row r="20" spans="1:17" ht="21.95" customHeight="1" x14ac:dyDescent="0.25">
      <c r="A20" s="4"/>
      <c r="B20" s="54"/>
      <c r="C20" s="56"/>
      <c r="D20" s="48"/>
      <c r="E20" s="5"/>
      <c r="F20" s="5"/>
      <c r="G20" s="5"/>
      <c r="H20" s="5"/>
      <c r="I20" s="5"/>
      <c r="J20" s="5"/>
      <c r="K20" s="5"/>
      <c r="P20" s="14"/>
      <c r="Q20" s="14"/>
    </row>
    <row r="21" spans="1:17" ht="21.95" customHeight="1" x14ac:dyDescent="0.25">
      <c r="A21" s="4"/>
      <c r="B21" s="54"/>
      <c r="C21" s="56"/>
      <c r="D21" s="48"/>
      <c r="E21" s="5"/>
      <c r="F21" s="5"/>
      <c r="G21" s="5"/>
      <c r="H21" s="5"/>
      <c r="I21" s="5"/>
      <c r="J21" s="5"/>
      <c r="K21" s="5"/>
      <c r="P21" s="14"/>
      <c r="Q21" s="14"/>
    </row>
    <row r="22" spans="1:17" ht="21.95" customHeight="1" x14ac:dyDescent="0.25">
      <c r="A22" s="4"/>
      <c r="B22" s="54"/>
      <c r="C22" s="56"/>
      <c r="D22" s="48"/>
      <c r="E22" s="5"/>
      <c r="F22" s="5"/>
      <c r="G22" s="5"/>
      <c r="H22" s="5"/>
      <c r="I22" s="5"/>
      <c r="J22" s="5"/>
      <c r="K22" s="5"/>
      <c r="P22" s="15"/>
      <c r="Q22" s="15"/>
    </row>
    <row r="23" spans="1:17" ht="21.95" customHeight="1" x14ac:dyDescent="0.25">
      <c r="A23" s="4"/>
      <c r="B23" s="54"/>
      <c r="C23" s="56"/>
      <c r="D23" s="48"/>
      <c r="E23" s="5"/>
      <c r="F23" s="5"/>
      <c r="G23" s="5"/>
      <c r="H23" s="5"/>
      <c r="I23" s="5"/>
      <c r="J23" s="5"/>
      <c r="K23" s="5"/>
      <c r="P23" s="15"/>
      <c r="Q23" s="15"/>
    </row>
    <row r="24" spans="1:17" ht="21.95" customHeight="1" x14ac:dyDescent="0.25">
      <c r="A24" s="4"/>
      <c r="B24" s="54"/>
      <c r="C24" s="56"/>
      <c r="D24" s="48"/>
      <c r="E24" s="5"/>
      <c r="F24" s="5"/>
      <c r="G24" s="5"/>
      <c r="H24" s="5"/>
      <c r="I24" s="5"/>
      <c r="J24" s="5"/>
      <c r="K24" s="5"/>
      <c r="P24" s="15"/>
      <c r="Q24" s="15"/>
    </row>
    <row r="25" spans="1:17" ht="21.95" customHeight="1" x14ac:dyDescent="0.25">
      <c r="A25" s="4"/>
      <c r="B25" s="54"/>
      <c r="C25" s="56"/>
      <c r="D25" s="48"/>
      <c r="E25" s="5"/>
      <c r="F25" s="5"/>
      <c r="G25" s="5"/>
      <c r="H25" s="5"/>
      <c r="I25" s="5"/>
      <c r="J25" s="5"/>
      <c r="K25" s="5"/>
      <c r="P25" s="14"/>
      <c r="Q25" s="14"/>
    </row>
    <row r="26" spans="1:17" ht="21.95" customHeight="1" x14ac:dyDescent="0.25">
      <c r="A26" s="4"/>
      <c r="B26" s="54"/>
      <c r="C26" s="56"/>
      <c r="D26" s="48"/>
      <c r="E26" s="5"/>
      <c r="F26" s="5"/>
      <c r="G26" s="5"/>
      <c r="H26" s="5"/>
      <c r="I26" s="5"/>
      <c r="J26" s="5"/>
      <c r="K26" s="5"/>
      <c r="P26" s="14"/>
      <c r="Q26" s="14"/>
    </row>
    <row r="27" spans="1:17" ht="21.95" customHeight="1" x14ac:dyDescent="0.25">
      <c r="A27" s="4"/>
      <c r="B27" s="54"/>
      <c r="C27" s="56"/>
      <c r="D27" s="48"/>
      <c r="E27" s="5"/>
      <c r="F27" s="5"/>
      <c r="G27" s="5"/>
      <c r="H27" s="5"/>
      <c r="I27" s="5"/>
      <c r="J27" s="5"/>
      <c r="K27" s="5"/>
      <c r="P27" s="14"/>
      <c r="Q27" s="14"/>
    </row>
    <row r="28" spans="1:17" ht="21.95" customHeight="1" x14ac:dyDescent="0.25">
      <c r="A28" s="4"/>
      <c r="B28" s="54"/>
      <c r="C28" s="56"/>
      <c r="D28" s="48"/>
      <c r="E28" s="5"/>
      <c r="F28" s="5"/>
      <c r="G28" s="5"/>
      <c r="H28" s="5"/>
      <c r="I28" s="5"/>
      <c r="J28" s="5"/>
      <c r="K28" s="5"/>
      <c r="P28" s="14"/>
      <c r="Q28" s="14"/>
    </row>
    <row r="29" spans="1:17" ht="21.95" customHeight="1" x14ac:dyDescent="0.25">
      <c r="A29" s="4"/>
      <c r="B29" s="54"/>
      <c r="C29" s="56"/>
      <c r="D29" s="48"/>
      <c r="E29" s="5"/>
      <c r="F29" s="5"/>
      <c r="G29" s="5"/>
      <c r="H29" s="5"/>
      <c r="I29" s="5"/>
      <c r="J29" s="5"/>
      <c r="K29" s="5"/>
      <c r="P29" s="14"/>
      <c r="Q29" s="14"/>
    </row>
    <row r="30" spans="1:17" ht="21.95" customHeight="1" x14ac:dyDescent="0.25">
      <c r="A30" s="4"/>
      <c r="B30" s="54"/>
      <c r="C30" s="56"/>
      <c r="D30" s="48"/>
      <c r="E30" s="5"/>
      <c r="F30" s="5"/>
      <c r="G30" s="5"/>
      <c r="H30" s="5"/>
      <c r="I30" s="5"/>
      <c r="J30" s="5"/>
      <c r="K30" s="5"/>
      <c r="O30" s="9"/>
      <c r="P30" s="9"/>
      <c r="Q30" s="9"/>
    </row>
    <row r="31" spans="1:17" ht="21.95" customHeight="1" x14ac:dyDescent="0.25">
      <c r="A31" s="4"/>
      <c r="B31" s="54"/>
      <c r="C31" s="56"/>
      <c r="D31" s="48"/>
      <c r="E31" s="5"/>
      <c r="F31" s="5"/>
      <c r="G31" s="5"/>
      <c r="H31" s="5"/>
      <c r="I31" s="5"/>
      <c r="J31" s="5"/>
      <c r="K31" s="5"/>
      <c r="O31" s="9"/>
      <c r="P31" s="9"/>
      <c r="Q31" s="9"/>
    </row>
    <row r="32" spans="1:17" ht="21.95" customHeight="1" x14ac:dyDescent="0.25">
      <c r="A32" s="4"/>
      <c r="B32" s="54"/>
      <c r="C32" s="56"/>
      <c r="D32" s="48"/>
      <c r="E32" s="5"/>
      <c r="F32" s="5"/>
      <c r="G32" s="5"/>
      <c r="H32" s="5"/>
      <c r="I32" s="5"/>
      <c r="J32" s="5"/>
      <c r="K32" s="5"/>
      <c r="O32" s="9"/>
      <c r="P32" s="9"/>
      <c r="Q32" s="9"/>
    </row>
    <row r="33" spans="1:19" ht="21.95" customHeight="1" x14ac:dyDescent="0.25">
      <c r="A33" s="4"/>
      <c r="B33" s="60"/>
      <c r="C33" s="56"/>
      <c r="D33" s="48"/>
      <c r="E33" s="5"/>
      <c r="F33" s="5"/>
      <c r="G33" s="5"/>
      <c r="H33" s="5"/>
      <c r="I33" s="5"/>
      <c r="J33" s="5"/>
      <c r="K33" s="5"/>
      <c r="O33" s="9"/>
      <c r="P33" s="9"/>
      <c r="Q33" s="9"/>
    </row>
    <row r="34" spans="1:19" ht="21.95" customHeight="1" x14ac:dyDescent="0.25">
      <c r="A34" s="4"/>
      <c r="B34" s="60"/>
      <c r="C34" s="56"/>
      <c r="D34" s="48"/>
      <c r="E34" s="5"/>
      <c r="F34" s="5"/>
      <c r="G34" s="5"/>
      <c r="H34" s="5"/>
      <c r="I34" s="5"/>
      <c r="J34" s="5"/>
      <c r="K34" s="5"/>
      <c r="O34" s="9"/>
      <c r="P34" s="9"/>
      <c r="Q34" s="9"/>
    </row>
    <row r="35" spans="1:19" ht="21.95" customHeight="1" x14ac:dyDescent="0.25">
      <c r="A35" s="4"/>
      <c r="B35" s="5"/>
      <c r="C35" s="5"/>
      <c r="D35" s="43"/>
      <c r="E35" s="43"/>
      <c r="F35" s="43"/>
      <c r="G35" s="43"/>
      <c r="H35" s="43"/>
      <c r="I35" s="43"/>
      <c r="J35" s="43"/>
      <c r="K35" s="43"/>
    </row>
    <row r="36" spans="1:19" ht="21.95" customHeight="1" x14ac:dyDescent="0.25">
      <c r="A36" s="4"/>
      <c r="B36" s="28"/>
      <c r="C36" s="39"/>
      <c r="D36" s="5"/>
      <c r="E36" s="5"/>
      <c r="F36" s="5"/>
      <c r="G36" s="5"/>
      <c r="H36" s="5"/>
      <c r="I36" s="5"/>
      <c r="J36" s="5"/>
      <c r="K36" s="5"/>
    </row>
    <row r="37" spans="1:19" ht="18" customHeight="1" x14ac:dyDescent="0.25">
      <c r="A37" s="30"/>
      <c r="D37" s="9"/>
      <c r="E37" s="9"/>
      <c r="F37" s="9"/>
      <c r="G37" s="9"/>
      <c r="H37" s="9"/>
      <c r="I37" s="9"/>
      <c r="J37" s="9"/>
      <c r="K37" s="9"/>
      <c r="O37" s="9"/>
      <c r="P37" s="9"/>
      <c r="Q37" s="9"/>
    </row>
    <row r="38" spans="1:19" ht="15" customHeight="1" x14ac:dyDescent="0.25">
      <c r="A38" s="58"/>
      <c r="B38" s="1" t="s">
        <v>7</v>
      </c>
      <c r="D38" s="9"/>
      <c r="E38" s="9"/>
      <c r="F38" s="20" t="s">
        <v>234</v>
      </c>
      <c r="M38" s="32" t="s">
        <v>4</v>
      </c>
      <c r="N38" s="32" t="s">
        <v>10</v>
      </c>
      <c r="O38" s="32" t="s">
        <v>11</v>
      </c>
      <c r="P38" s="32" t="s">
        <v>12</v>
      </c>
      <c r="Q38" s="32" t="s">
        <v>21</v>
      </c>
      <c r="R38" s="32" t="s">
        <v>15</v>
      </c>
      <c r="S38" s="32" t="s">
        <v>13</v>
      </c>
    </row>
    <row r="39" spans="1:19" ht="15" customHeight="1" x14ac:dyDescent="0.25">
      <c r="A39" s="58"/>
      <c r="B39" s="8" t="s">
        <v>8</v>
      </c>
      <c r="D39" s="9"/>
      <c r="E39" s="9"/>
      <c r="F39" s="20" t="s">
        <v>238</v>
      </c>
      <c r="M39" s="33" t="s">
        <v>14</v>
      </c>
      <c r="N39" s="33">
        <v>18</v>
      </c>
      <c r="O39" s="33">
        <v>9</v>
      </c>
      <c r="P39" s="38"/>
      <c r="Q39" s="38"/>
      <c r="R39" s="33">
        <v>1</v>
      </c>
      <c r="S39" s="33">
        <f>SUM(N39:R39)</f>
        <v>28</v>
      </c>
    </row>
    <row r="40" spans="1:19" ht="15" customHeight="1" x14ac:dyDescent="0.25">
      <c r="A40" s="58"/>
      <c r="B40" s="8"/>
      <c r="F40" s="9"/>
      <c r="M40" s="33" t="s">
        <v>11</v>
      </c>
      <c r="N40" s="33"/>
      <c r="O40" s="33"/>
      <c r="P40" s="5"/>
      <c r="Q40" s="5"/>
      <c r="R40" s="33"/>
      <c r="S40" s="33">
        <f>SUM(N40:R40)</f>
        <v>0</v>
      </c>
    </row>
    <row r="41" spans="1:19" ht="15" customHeight="1" x14ac:dyDescent="0.25">
      <c r="A41" s="47"/>
      <c r="B41" s="8"/>
      <c r="F41" s="9"/>
      <c r="M41" s="34" t="s">
        <v>13</v>
      </c>
      <c r="N41" s="34">
        <f>SUM(N39:N40)</f>
        <v>18</v>
      </c>
      <c r="O41" s="34">
        <f t="shared" ref="O41" si="0">SUM(O39:O40)</f>
        <v>9</v>
      </c>
      <c r="P41" s="5"/>
      <c r="Q41" s="5"/>
      <c r="R41" s="34">
        <f>SUM(R39:R40)</f>
        <v>1</v>
      </c>
      <c r="S41" s="34">
        <f>SUM(S39:S40)</f>
        <v>28</v>
      </c>
    </row>
    <row r="42" spans="1:19" ht="15" customHeight="1" x14ac:dyDescent="0.25">
      <c r="A42" s="26"/>
      <c r="B42" s="8"/>
      <c r="F42" s="9"/>
    </row>
    <row r="43" spans="1:19" ht="15" customHeight="1" x14ac:dyDescent="0.25">
      <c r="B43" s="8" t="s">
        <v>24</v>
      </c>
      <c r="D43" s="8"/>
      <c r="F43" s="29" t="s">
        <v>239</v>
      </c>
    </row>
    <row r="44" spans="1:19" x14ac:dyDescent="0.25">
      <c r="C44" s="8"/>
      <c r="D44" s="8"/>
    </row>
    <row r="45" spans="1:19" x14ac:dyDescent="0.25">
      <c r="C45" s="8"/>
      <c r="M45" s="20"/>
    </row>
    <row r="46" spans="1:19" x14ac:dyDescent="0.25">
      <c r="C46" s="8"/>
    </row>
    <row r="47" spans="1:19" x14ac:dyDescent="0.25">
      <c r="C47" s="8"/>
    </row>
    <row r="48" spans="1:19" x14ac:dyDescent="0.25">
      <c r="C48" s="8"/>
    </row>
    <row r="49" spans="1:11" x14ac:dyDescent="0.25">
      <c r="C49" s="8"/>
    </row>
    <row r="50" spans="1:11" x14ac:dyDescent="0.25">
      <c r="C50" s="8"/>
    </row>
    <row r="51" spans="1:11" x14ac:dyDescent="0.25">
      <c r="C51" s="8"/>
    </row>
    <row r="52" spans="1:11" x14ac:dyDescent="0.25">
      <c r="C52" s="8"/>
    </row>
    <row r="53" spans="1:11" x14ac:dyDescent="0.25">
      <c r="C53" s="8"/>
    </row>
    <row r="54" spans="1:11" x14ac:dyDescent="0.25">
      <c r="C54" s="8"/>
    </row>
    <row r="55" spans="1:11" x14ac:dyDescent="0.25">
      <c r="C55" s="8"/>
    </row>
    <row r="56" spans="1:11" x14ac:dyDescent="0.25">
      <c r="C56" s="8"/>
    </row>
    <row r="57" spans="1:11" x14ac:dyDescent="0.25">
      <c r="A57" s="63" t="s">
        <v>6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</row>
    <row r="58" spans="1:11" x14ac:dyDescent="0.25">
      <c r="A58" s="63" t="s">
        <v>0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</row>
    <row r="59" spans="1:11" x14ac:dyDescent="0.25">
      <c r="A59" s="63" t="s">
        <v>226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</row>
    <row r="60" spans="1:11" x14ac:dyDescent="0.25">
      <c r="A60" s="17" t="s">
        <v>230</v>
      </c>
      <c r="B60" s="10"/>
      <c r="C60" s="11"/>
      <c r="D60" s="9"/>
      <c r="E60" s="9"/>
      <c r="F60" s="9"/>
      <c r="G60" s="9"/>
      <c r="H60" s="9"/>
      <c r="I60" s="9"/>
      <c r="J60" s="9"/>
      <c r="K60" s="9"/>
    </row>
    <row r="61" spans="1:11" ht="18.95" customHeight="1" x14ac:dyDescent="0.25">
      <c r="A61" s="64" t="s">
        <v>1</v>
      </c>
      <c r="B61" s="64" t="s">
        <v>3</v>
      </c>
      <c r="C61" s="64" t="s">
        <v>4</v>
      </c>
      <c r="D61" s="67" t="s">
        <v>5</v>
      </c>
      <c r="E61" s="68"/>
      <c r="F61" s="68"/>
      <c r="G61" s="68"/>
      <c r="H61" s="68"/>
      <c r="I61" s="68"/>
      <c r="J61" s="68"/>
      <c r="K61" s="69"/>
    </row>
    <row r="62" spans="1:11" ht="18.95" customHeight="1" x14ac:dyDescent="0.25">
      <c r="A62" s="65"/>
      <c r="B62" s="66"/>
      <c r="C62" s="66"/>
      <c r="D62" s="6"/>
      <c r="E62" s="6"/>
      <c r="F62" s="6"/>
      <c r="G62" s="6"/>
      <c r="H62" s="6"/>
      <c r="I62" s="6"/>
      <c r="J62" s="6"/>
      <c r="K62" s="6"/>
    </row>
    <row r="63" spans="1:11" ht="20.100000000000001" customHeight="1" x14ac:dyDescent="0.25">
      <c r="A63" s="4">
        <v>1</v>
      </c>
      <c r="B63" s="51" t="s">
        <v>221</v>
      </c>
      <c r="C63" s="56" t="s">
        <v>39</v>
      </c>
      <c r="D63" s="48"/>
      <c r="E63" s="5"/>
      <c r="F63" s="5"/>
      <c r="G63" s="5"/>
      <c r="H63" s="5"/>
      <c r="I63" s="5"/>
      <c r="J63" s="5"/>
      <c r="K63" s="5"/>
    </row>
    <row r="64" spans="1:11" ht="20.100000000000001" customHeight="1" x14ac:dyDescent="0.25">
      <c r="A64" s="4">
        <v>2</v>
      </c>
      <c r="B64" s="54" t="s">
        <v>121</v>
      </c>
      <c r="C64" s="56" t="s">
        <v>25</v>
      </c>
      <c r="D64" s="48"/>
      <c r="E64" s="5"/>
      <c r="F64" s="5"/>
      <c r="G64" s="5"/>
      <c r="H64" s="5"/>
      <c r="I64" s="5"/>
      <c r="J64" s="5"/>
      <c r="K64" s="5"/>
    </row>
    <row r="65" spans="1:11" ht="20.100000000000001" customHeight="1" x14ac:dyDescent="0.25">
      <c r="A65" s="4">
        <v>3</v>
      </c>
      <c r="B65" s="54" t="s">
        <v>141</v>
      </c>
      <c r="C65" s="56" t="s">
        <v>25</v>
      </c>
      <c r="D65" s="48"/>
      <c r="E65" s="5"/>
      <c r="F65" s="5"/>
      <c r="G65" s="5"/>
      <c r="H65" s="5"/>
      <c r="I65" s="5"/>
      <c r="J65" s="5"/>
      <c r="K65" s="5"/>
    </row>
    <row r="66" spans="1:11" ht="20.100000000000001" customHeight="1" x14ac:dyDescent="0.25">
      <c r="A66" s="4">
        <v>4</v>
      </c>
      <c r="B66" s="51" t="s">
        <v>214</v>
      </c>
      <c r="C66" s="56" t="s">
        <v>25</v>
      </c>
      <c r="D66" s="48"/>
      <c r="E66" s="5"/>
      <c r="F66" s="5"/>
      <c r="G66" s="5"/>
      <c r="H66" s="5"/>
      <c r="I66" s="5"/>
      <c r="J66" s="5"/>
      <c r="K66" s="5"/>
    </row>
    <row r="67" spans="1:11" ht="20.100000000000001" customHeight="1" x14ac:dyDescent="0.25">
      <c r="A67" s="4">
        <v>5</v>
      </c>
      <c r="B67" s="51" t="s">
        <v>142</v>
      </c>
      <c r="C67" s="56" t="s">
        <v>39</v>
      </c>
      <c r="D67" s="48"/>
      <c r="E67" s="5"/>
      <c r="F67" s="5"/>
      <c r="G67" s="5"/>
      <c r="H67" s="5"/>
      <c r="I67" s="5"/>
      <c r="J67" s="5"/>
      <c r="K67" s="5"/>
    </row>
    <row r="68" spans="1:11" ht="20.100000000000001" customHeight="1" x14ac:dyDescent="0.25">
      <c r="A68" s="4">
        <v>6</v>
      </c>
      <c r="B68" s="51" t="s">
        <v>143</v>
      </c>
      <c r="C68" s="56" t="s">
        <v>39</v>
      </c>
      <c r="D68" s="48"/>
      <c r="E68" s="5"/>
      <c r="F68" s="5"/>
      <c r="G68" s="5"/>
      <c r="H68" s="5"/>
      <c r="I68" s="5"/>
      <c r="J68" s="5"/>
      <c r="K68" s="5"/>
    </row>
    <row r="69" spans="1:11" ht="20.100000000000001" customHeight="1" x14ac:dyDescent="0.25">
      <c r="A69" s="4">
        <v>7</v>
      </c>
      <c r="B69" s="51" t="s">
        <v>145</v>
      </c>
      <c r="C69" s="56" t="s">
        <v>39</v>
      </c>
      <c r="D69" s="48"/>
      <c r="E69" s="5"/>
      <c r="F69" s="5"/>
      <c r="G69" s="5"/>
      <c r="H69" s="5"/>
      <c r="I69" s="5"/>
      <c r="J69" s="5"/>
      <c r="K69" s="5"/>
    </row>
    <row r="70" spans="1:11" ht="20.100000000000001" customHeight="1" x14ac:dyDescent="0.25">
      <c r="A70" s="4">
        <v>8</v>
      </c>
      <c r="B70" s="51" t="s">
        <v>219</v>
      </c>
      <c r="C70" s="56" t="s">
        <v>25</v>
      </c>
      <c r="D70" s="48"/>
      <c r="E70" s="5"/>
      <c r="F70" s="5"/>
      <c r="G70" s="5"/>
      <c r="H70" s="5"/>
      <c r="I70" s="5"/>
      <c r="J70" s="5"/>
      <c r="K70" s="5"/>
    </row>
    <row r="71" spans="1:11" ht="20.100000000000001" customHeight="1" x14ac:dyDescent="0.25">
      <c r="A71" s="4">
        <v>9</v>
      </c>
      <c r="B71" s="54" t="s">
        <v>146</v>
      </c>
      <c r="C71" s="56" t="s">
        <v>25</v>
      </c>
      <c r="D71" s="48"/>
      <c r="E71" s="5"/>
      <c r="F71" s="5"/>
      <c r="G71" s="5"/>
      <c r="H71" s="5"/>
      <c r="I71" s="5"/>
      <c r="J71" s="5"/>
      <c r="K71" s="5"/>
    </row>
    <row r="72" spans="1:11" ht="20.100000000000001" customHeight="1" x14ac:dyDescent="0.25">
      <c r="A72" s="4">
        <v>10</v>
      </c>
      <c r="B72" s="52" t="s">
        <v>82</v>
      </c>
      <c r="C72" s="55" t="s">
        <v>25</v>
      </c>
      <c r="D72" s="48"/>
      <c r="E72" s="5"/>
      <c r="F72" s="5"/>
      <c r="G72" s="5"/>
      <c r="H72" s="5"/>
      <c r="I72" s="5"/>
      <c r="J72" s="5"/>
      <c r="K72" s="5"/>
    </row>
    <row r="73" spans="1:11" ht="20.100000000000001" customHeight="1" x14ac:dyDescent="0.25">
      <c r="A73" s="4">
        <v>11</v>
      </c>
      <c r="B73" s="54" t="s">
        <v>147</v>
      </c>
      <c r="C73" s="56" t="s">
        <v>25</v>
      </c>
      <c r="D73" s="48"/>
      <c r="E73" s="5"/>
      <c r="F73" s="5"/>
      <c r="G73" s="5"/>
      <c r="H73" s="5"/>
      <c r="I73" s="5"/>
      <c r="J73" s="5"/>
      <c r="K73" s="5"/>
    </row>
    <row r="74" spans="1:11" ht="20.100000000000001" customHeight="1" x14ac:dyDescent="0.25">
      <c r="A74" s="4">
        <v>12</v>
      </c>
      <c r="B74" s="51" t="s">
        <v>148</v>
      </c>
      <c r="C74" s="56" t="s">
        <v>39</v>
      </c>
      <c r="D74" s="48"/>
      <c r="E74" s="5"/>
      <c r="F74" s="5"/>
      <c r="G74" s="5"/>
      <c r="H74" s="5"/>
      <c r="I74" s="5"/>
      <c r="J74" s="5"/>
      <c r="K74" s="5"/>
    </row>
    <row r="75" spans="1:11" ht="20.100000000000001" customHeight="1" x14ac:dyDescent="0.25">
      <c r="A75" s="4">
        <v>13</v>
      </c>
      <c r="B75" s="54" t="s">
        <v>149</v>
      </c>
      <c r="C75" s="56" t="s">
        <v>25</v>
      </c>
      <c r="D75" s="48"/>
      <c r="E75" s="5"/>
      <c r="F75" s="5"/>
      <c r="G75" s="5"/>
      <c r="H75" s="5"/>
      <c r="I75" s="5"/>
      <c r="J75" s="5"/>
      <c r="K75" s="5"/>
    </row>
    <row r="76" spans="1:11" ht="20.100000000000001" customHeight="1" x14ac:dyDescent="0.25">
      <c r="A76" s="4">
        <v>14</v>
      </c>
      <c r="B76" s="54" t="s">
        <v>150</v>
      </c>
      <c r="C76" s="56" t="s">
        <v>33</v>
      </c>
      <c r="D76" s="48"/>
      <c r="E76" s="5"/>
      <c r="F76" s="5"/>
      <c r="G76" s="5"/>
      <c r="H76" s="5"/>
      <c r="I76" s="5"/>
      <c r="J76" s="5"/>
      <c r="K76" s="5"/>
    </row>
    <row r="77" spans="1:11" ht="20.100000000000001" customHeight="1" x14ac:dyDescent="0.25">
      <c r="A77" s="4">
        <v>15</v>
      </c>
      <c r="B77" s="54" t="s">
        <v>222</v>
      </c>
      <c r="C77" s="56" t="s">
        <v>39</v>
      </c>
      <c r="D77" s="48"/>
      <c r="E77" s="5"/>
      <c r="F77" s="5"/>
      <c r="G77" s="5"/>
      <c r="H77" s="5"/>
      <c r="I77" s="5"/>
      <c r="J77" s="5"/>
      <c r="K77" s="5"/>
    </row>
    <row r="78" spans="1:11" ht="20.100000000000001" customHeight="1" x14ac:dyDescent="0.25">
      <c r="A78" s="4">
        <v>16</v>
      </c>
      <c r="B78" s="54" t="s">
        <v>151</v>
      </c>
      <c r="C78" s="56" t="s">
        <v>39</v>
      </c>
      <c r="D78" s="48"/>
      <c r="E78" s="5"/>
      <c r="F78" s="5"/>
      <c r="G78" s="5"/>
      <c r="H78" s="5"/>
      <c r="I78" s="5"/>
      <c r="J78" s="5"/>
      <c r="K78" s="5"/>
    </row>
    <row r="79" spans="1:11" ht="20.100000000000001" customHeight="1" x14ac:dyDescent="0.25">
      <c r="A79" s="4">
        <v>17</v>
      </c>
      <c r="B79" s="28" t="s">
        <v>189</v>
      </c>
      <c r="C79" s="56" t="s">
        <v>25</v>
      </c>
      <c r="D79" s="48"/>
      <c r="E79" s="5"/>
      <c r="F79" s="5"/>
      <c r="G79" s="5"/>
      <c r="H79" s="5"/>
      <c r="I79" s="5"/>
      <c r="J79" s="5"/>
      <c r="K79" s="5"/>
    </row>
    <row r="80" spans="1:11" ht="20.100000000000001" customHeight="1" x14ac:dyDescent="0.25">
      <c r="A80" s="4">
        <v>18</v>
      </c>
      <c r="B80" s="54" t="s">
        <v>155</v>
      </c>
      <c r="C80" s="56" t="s">
        <v>25</v>
      </c>
      <c r="D80" s="48"/>
      <c r="E80" s="5"/>
      <c r="F80" s="5"/>
      <c r="G80" s="5"/>
      <c r="H80" s="5"/>
      <c r="I80" s="5"/>
      <c r="J80" s="5"/>
      <c r="K80" s="5"/>
    </row>
    <row r="81" spans="1:22" ht="20.100000000000001" customHeight="1" x14ac:dyDescent="0.25">
      <c r="A81" s="4">
        <v>19</v>
      </c>
      <c r="B81" s="54" t="s">
        <v>156</v>
      </c>
      <c r="C81" s="56" t="s">
        <v>25</v>
      </c>
      <c r="D81" s="48"/>
      <c r="E81" s="5"/>
      <c r="F81" s="5"/>
      <c r="G81" s="5"/>
      <c r="H81" s="5"/>
      <c r="I81" s="5"/>
      <c r="J81" s="5"/>
      <c r="K81" s="5"/>
    </row>
    <row r="82" spans="1:22" ht="20.100000000000001" customHeight="1" x14ac:dyDescent="0.25">
      <c r="A82" s="4">
        <v>20</v>
      </c>
      <c r="B82" s="53" t="s">
        <v>157</v>
      </c>
      <c r="C82" s="57" t="s">
        <v>25</v>
      </c>
      <c r="D82" s="48"/>
      <c r="E82" s="5"/>
      <c r="F82" s="5"/>
      <c r="G82" s="5"/>
      <c r="H82" s="5"/>
      <c r="I82" s="5"/>
      <c r="J82" s="5"/>
      <c r="K82" s="5"/>
    </row>
    <row r="83" spans="1:22" ht="20.100000000000001" customHeight="1" x14ac:dyDescent="0.25">
      <c r="A83" s="4">
        <v>21</v>
      </c>
      <c r="B83" s="54" t="s">
        <v>158</v>
      </c>
      <c r="C83" s="56" t="s">
        <v>27</v>
      </c>
      <c r="D83" s="48"/>
      <c r="E83" s="5"/>
      <c r="F83" s="5"/>
      <c r="G83" s="5"/>
      <c r="H83" s="5"/>
      <c r="I83" s="5"/>
      <c r="J83" s="5"/>
      <c r="K83" s="5"/>
    </row>
    <row r="84" spans="1:22" ht="20.100000000000001" customHeight="1" x14ac:dyDescent="0.25">
      <c r="A84" s="4">
        <v>22</v>
      </c>
      <c r="B84" s="51" t="s">
        <v>175</v>
      </c>
      <c r="C84" s="56" t="s">
        <v>25</v>
      </c>
      <c r="D84" s="48"/>
      <c r="E84" s="5"/>
      <c r="F84" s="5"/>
      <c r="G84" s="5"/>
      <c r="H84" s="5"/>
      <c r="I84" s="5"/>
      <c r="J84" s="5"/>
      <c r="K84" s="5"/>
    </row>
    <row r="85" spans="1:22" ht="20.100000000000001" customHeight="1" x14ac:dyDescent="0.25">
      <c r="A85" s="4">
        <v>23</v>
      </c>
      <c r="B85" s="51" t="s">
        <v>159</v>
      </c>
      <c r="C85" s="56" t="s">
        <v>39</v>
      </c>
      <c r="D85" s="48"/>
      <c r="E85" s="5"/>
      <c r="F85" s="5"/>
      <c r="G85" s="5"/>
      <c r="H85" s="5"/>
      <c r="I85" s="5"/>
      <c r="J85" s="5"/>
      <c r="K85" s="5"/>
    </row>
    <row r="86" spans="1:22" ht="20.100000000000001" customHeight="1" x14ac:dyDescent="0.25">
      <c r="A86" s="4">
        <v>24</v>
      </c>
      <c r="B86" s="54" t="s">
        <v>160</v>
      </c>
      <c r="C86" s="56" t="s">
        <v>25</v>
      </c>
      <c r="D86" s="48"/>
      <c r="E86" s="5"/>
      <c r="F86" s="5"/>
      <c r="G86" s="5"/>
      <c r="H86" s="5"/>
      <c r="I86" s="5"/>
      <c r="J86" s="5"/>
      <c r="K86" s="5"/>
    </row>
    <row r="87" spans="1:22" ht="20.100000000000001" customHeight="1" x14ac:dyDescent="0.25">
      <c r="A87" s="4">
        <v>25</v>
      </c>
      <c r="B87" s="53" t="s">
        <v>162</v>
      </c>
      <c r="C87" s="57" t="s">
        <v>25</v>
      </c>
      <c r="D87" s="48"/>
      <c r="E87" s="5"/>
      <c r="F87" s="5"/>
      <c r="G87" s="5"/>
      <c r="H87" s="5"/>
      <c r="I87" s="5"/>
      <c r="J87" s="5"/>
      <c r="K87" s="5"/>
    </row>
    <row r="88" spans="1:22" ht="20.100000000000001" customHeight="1" x14ac:dyDescent="0.25">
      <c r="A88" s="4">
        <v>26</v>
      </c>
      <c r="B88" s="51" t="s">
        <v>177</v>
      </c>
      <c r="C88" s="56" t="s">
        <v>25</v>
      </c>
      <c r="D88" s="48"/>
      <c r="E88" s="5"/>
      <c r="F88" s="5"/>
      <c r="G88" s="5"/>
      <c r="H88" s="5"/>
      <c r="I88" s="5"/>
      <c r="J88" s="5"/>
      <c r="K88" s="5"/>
    </row>
    <row r="89" spans="1:22" ht="20.100000000000001" customHeight="1" x14ac:dyDescent="0.25">
      <c r="A89" s="4">
        <v>27</v>
      </c>
      <c r="B89" s="51" t="s">
        <v>203</v>
      </c>
      <c r="C89" s="56" t="s">
        <v>25</v>
      </c>
      <c r="D89" s="48"/>
      <c r="E89" s="5"/>
      <c r="F89" s="5"/>
      <c r="G89" s="5"/>
      <c r="H89" s="5"/>
      <c r="I89" s="5"/>
      <c r="J89" s="5"/>
      <c r="K89" s="5"/>
    </row>
    <row r="90" spans="1:22" ht="20.100000000000001" customHeight="1" x14ac:dyDescent="0.25">
      <c r="A90" s="4">
        <v>28</v>
      </c>
      <c r="B90" s="51" t="s">
        <v>187</v>
      </c>
      <c r="C90" s="59" t="s">
        <v>25</v>
      </c>
      <c r="D90" s="5"/>
      <c r="E90" s="5"/>
      <c r="F90" s="5"/>
      <c r="G90" s="5"/>
      <c r="H90" s="5"/>
      <c r="I90" s="5"/>
      <c r="J90" s="5"/>
      <c r="K90" s="5"/>
    </row>
    <row r="91" spans="1:22" ht="20.100000000000001" customHeight="1" x14ac:dyDescent="0.25">
      <c r="A91" s="4">
        <v>29</v>
      </c>
      <c r="B91" s="51" t="s">
        <v>163</v>
      </c>
      <c r="C91" s="56" t="s">
        <v>39</v>
      </c>
      <c r="D91" s="5"/>
      <c r="E91" s="5"/>
      <c r="F91" s="5"/>
      <c r="G91" s="5"/>
      <c r="H91" s="5"/>
      <c r="I91" s="5"/>
      <c r="J91" s="5"/>
      <c r="K91" s="5"/>
    </row>
    <row r="92" spans="1:22" ht="20.100000000000001" customHeight="1" x14ac:dyDescent="0.25">
      <c r="A92" s="4">
        <v>30</v>
      </c>
      <c r="B92" s="61" t="s">
        <v>209</v>
      </c>
      <c r="C92" s="62" t="s">
        <v>25</v>
      </c>
      <c r="D92" s="5"/>
      <c r="E92" s="5"/>
      <c r="F92" s="5"/>
      <c r="G92" s="5"/>
      <c r="H92" s="5"/>
      <c r="I92" s="5"/>
      <c r="J92" s="5"/>
      <c r="K92" s="5"/>
      <c r="M92" s="19"/>
    </row>
    <row r="93" spans="1:22" ht="20.100000000000001" customHeight="1" x14ac:dyDescent="0.25">
      <c r="A93" s="7"/>
      <c r="B93" s="28"/>
      <c r="C93" s="42"/>
      <c r="D93" s="5"/>
      <c r="E93" s="5"/>
      <c r="F93" s="5"/>
      <c r="G93" s="5"/>
      <c r="H93" s="5"/>
      <c r="I93" s="5"/>
      <c r="J93" s="5"/>
      <c r="K93" s="5"/>
      <c r="M93" s="19"/>
    </row>
    <row r="94" spans="1:22" ht="17.100000000000001" customHeight="1" x14ac:dyDescent="0.25">
      <c r="A94" s="40"/>
      <c r="B94" s="27"/>
      <c r="C94" s="18"/>
      <c r="D94" s="9"/>
      <c r="E94" s="9"/>
      <c r="F94" s="9"/>
      <c r="G94" s="9"/>
      <c r="H94" s="9"/>
      <c r="I94" s="9"/>
      <c r="J94" s="9"/>
      <c r="K94" s="9"/>
      <c r="M94" s="19"/>
    </row>
    <row r="95" spans="1:22" ht="12.95" customHeight="1" x14ac:dyDescent="0.25">
      <c r="A95" s="58" t="s">
        <v>19</v>
      </c>
      <c r="B95" s="1" t="s">
        <v>7</v>
      </c>
      <c r="F95" s="20" t="s">
        <v>234</v>
      </c>
      <c r="M95" s="32" t="s">
        <v>4</v>
      </c>
      <c r="N95" s="32" t="s">
        <v>10</v>
      </c>
      <c r="O95" s="32" t="s">
        <v>11</v>
      </c>
      <c r="P95" s="32" t="s">
        <v>12</v>
      </c>
      <c r="Q95" s="32" t="s">
        <v>15</v>
      </c>
      <c r="R95" s="32" t="s">
        <v>13</v>
      </c>
    </row>
    <row r="96" spans="1:22" ht="12.95" customHeight="1" x14ac:dyDescent="0.25">
      <c r="A96" s="58" t="s">
        <v>18</v>
      </c>
      <c r="B96" s="8" t="s">
        <v>8</v>
      </c>
      <c r="F96" s="20" t="s">
        <v>229</v>
      </c>
      <c r="M96" s="33" t="s">
        <v>14</v>
      </c>
      <c r="N96" s="33">
        <v>20</v>
      </c>
      <c r="O96" s="33">
        <v>9</v>
      </c>
      <c r="P96" s="33"/>
      <c r="Q96" s="33"/>
      <c r="R96" s="33">
        <f>SUM(N96:P96)</f>
        <v>29</v>
      </c>
      <c r="V96" s="35"/>
    </row>
    <row r="97" spans="1:20" ht="12" customHeight="1" x14ac:dyDescent="0.25">
      <c r="A97" s="58" t="s">
        <v>20</v>
      </c>
      <c r="B97" s="8"/>
      <c r="F97" s="9"/>
      <c r="M97" s="33" t="s">
        <v>11</v>
      </c>
      <c r="N97" s="33">
        <v>2</v>
      </c>
      <c r="O97" s="33">
        <v>1</v>
      </c>
      <c r="P97" s="33"/>
      <c r="Q97" s="33"/>
      <c r="R97" s="33">
        <f>SUM(N97:P97)</f>
        <v>3</v>
      </c>
    </row>
    <row r="98" spans="1:20" ht="12" customHeight="1" x14ac:dyDescent="0.25">
      <c r="A98" s="46"/>
      <c r="B98" s="8"/>
      <c r="F98" s="9"/>
      <c r="M98" s="34" t="s">
        <v>13</v>
      </c>
      <c r="N98" s="34">
        <f>SUM(N96:N97)</f>
        <v>22</v>
      </c>
      <c r="O98" s="34">
        <f t="shared" ref="O98:R98" si="1">SUM(O96:O97)</f>
        <v>10</v>
      </c>
      <c r="P98" s="34">
        <f t="shared" si="1"/>
        <v>0</v>
      </c>
      <c r="Q98" s="34"/>
      <c r="R98" s="34">
        <f t="shared" si="1"/>
        <v>32</v>
      </c>
    </row>
    <row r="99" spans="1:20" x14ac:dyDescent="0.25">
      <c r="A99" s="46"/>
      <c r="B99" s="8"/>
      <c r="F99" s="9"/>
      <c r="P99" s="22" t="s">
        <v>9</v>
      </c>
      <c r="Q99" s="22"/>
    </row>
    <row r="100" spans="1:20" x14ac:dyDescent="0.25">
      <c r="B100" s="8" t="s">
        <v>24</v>
      </c>
      <c r="D100" s="8"/>
      <c r="F100" s="29" t="s">
        <v>232</v>
      </c>
    </row>
    <row r="101" spans="1:20" x14ac:dyDescent="0.25">
      <c r="C101" s="8"/>
      <c r="D101" s="8"/>
    </row>
    <row r="102" spans="1:20" x14ac:dyDescent="0.25">
      <c r="C102" s="8"/>
    </row>
    <row r="103" spans="1:20" x14ac:dyDescent="0.25">
      <c r="C103" s="8"/>
    </row>
    <row r="104" spans="1:20" x14ac:dyDescent="0.25">
      <c r="C104" s="8"/>
      <c r="S104" s="36"/>
    </row>
    <row r="105" spans="1:20" x14ac:dyDescent="0.25">
      <c r="C105" s="8"/>
    </row>
    <row r="107" spans="1:20" x14ac:dyDescent="0.25">
      <c r="Q107" s="27"/>
      <c r="R107" s="9"/>
      <c r="S107" s="9"/>
      <c r="T107" s="18"/>
    </row>
    <row r="108" spans="1:20" x14ac:dyDescent="0.25">
      <c r="Q108" s="9"/>
      <c r="R108" s="9"/>
      <c r="S108" s="9"/>
      <c r="T108" s="24"/>
    </row>
    <row r="109" spans="1:20" x14ac:dyDescent="0.25">
      <c r="Q109" s="9"/>
      <c r="R109" s="9"/>
      <c r="S109" s="9"/>
      <c r="T109" s="18"/>
    </row>
    <row r="112" spans="1:20" x14ac:dyDescent="0.25">
      <c r="A112" s="63" t="s">
        <v>6</v>
      </c>
      <c r="B112" s="63"/>
      <c r="C112" s="63"/>
      <c r="D112" s="63"/>
      <c r="E112" s="63"/>
      <c r="F112" s="63"/>
      <c r="G112" s="63"/>
      <c r="H112" s="63"/>
      <c r="I112" s="63"/>
      <c r="J112" s="63"/>
      <c r="K112" s="63"/>
    </row>
    <row r="113" spans="1:11" x14ac:dyDescent="0.25">
      <c r="A113" s="63" t="s">
        <v>0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63"/>
    </row>
    <row r="114" spans="1:11" x14ac:dyDescent="0.25">
      <c r="A114" s="63" t="s">
        <v>226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</row>
    <row r="115" spans="1:11" x14ac:dyDescent="0.25">
      <c r="A115" s="17" t="s">
        <v>228</v>
      </c>
      <c r="B115" s="10"/>
      <c r="C115" s="41"/>
      <c r="D115" s="9"/>
      <c r="E115" s="9"/>
      <c r="F115" s="9"/>
      <c r="G115" s="9"/>
      <c r="H115" s="9"/>
      <c r="I115" s="9"/>
      <c r="J115" s="9"/>
      <c r="K115" s="9"/>
    </row>
    <row r="116" spans="1:11" ht="18.95" customHeight="1" x14ac:dyDescent="0.25">
      <c r="A116" s="64" t="s">
        <v>1</v>
      </c>
      <c r="B116" s="64" t="s">
        <v>3</v>
      </c>
      <c r="C116" s="64" t="s">
        <v>4</v>
      </c>
      <c r="D116" s="67" t="s">
        <v>5</v>
      </c>
      <c r="E116" s="68"/>
      <c r="F116" s="68"/>
      <c r="G116" s="68"/>
      <c r="H116" s="68"/>
      <c r="I116" s="68"/>
      <c r="J116" s="68"/>
      <c r="K116" s="69"/>
    </row>
    <row r="117" spans="1:11" ht="18.95" customHeight="1" x14ac:dyDescent="0.25">
      <c r="A117" s="65"/>
      <c r="B117" s="66"/>
      <c r="C117" s="66"/>
      <c r="D117" s="6"/>
      <c r="E117" s="6"/>
      <c r="F117" s="6"/>
      <c r="G117" s="6"/>
      <c r="H117" s="6"/>
      <c r="I117" s="6"/>
      <c r="J117" s="6"/>
      <c r="K117" s="6"/>
    </row>
    <row r="118" spans="1:11" ht="20.100000000000001" customHeight="1" x14ac:dyDescent="0.25">
      <c r="A118" s="4">
        <v>1</v>
      </c>
      <c r="B118" s="51" t="s">
        <v>188</v>
      </c>
      <c r="C118" s="56" t="s">
        <v>25</v>
      </c>
      <c r="D118" s="48"/>
      <c r="E118" s="5"/>
      <c r="F118" s="5"/>
      <c r="G118" s="5"/>
      <c r="H118" s="5"/>
      <c r="I118" s="5"/>
      <c r="J118" s="5"/>
      <c r="K118" s="5"/>
    </row>
    <row r="119" spans="1:11" ht="20.100000000000001" customHeight="1" x14ac:dyDescent="0.25">
      <c r="A119" s="4">
        <v>2</v>
      </c>
      <c r="B119" s="51" t="s">
        <v>164</v>
      </c>
      <c r="C119" s="56" t="s">
        <v>25</v>
      </c>
      <c r="D119" s="48"/>
      <c r="E119" s="5"/>
      <c r="F119" s="5"/>
      <c r="G119" s="5"/>
      <c r="H119" s="5"/>
      <c r="I119" s="5"/>
      <c r="J119" s="5"/>
      <c r="K119" s="5"/>
    </row>
    <row r="120" spans="1:11" ht="20.100000000000001" customHeight="1" x14ac:dyDescent="0.25">
      <c r="A120" s="4">
        <v>3</v>
      </c>
      <c r="B120" s="51" t="s">
        <v>165</v>
      </c>
      <c r="C120" s="56" t="s">
        <v>25</v>
      </c>
      <c r="D120" s="48"/>
      <c r="E120" s="5"/>
      <c r="F120" s="5"/>
      <c r="G120" s="5"/>
      <c r="H120" s="5"/>
      <c r="I120" s="5"/>
      <c r="J120" s="5"/>
      <c r="K120" s="5"/>
    </row>
    <row r="121" spans="1:11" ht="20.100000000000001" customHeight="1" x14ac:dyDescent="0.25">
      <c r="A121" s="4">
        <v>4</v>
      </c>
      <c r="B121" s="54" t="s">
        <v>166</v>
      </c>
      <c r="C121" s="56" t="s">
        <v>25</v>
      </c>
      <c r="D121" s="48"/>
      <c r="E121" s="5"/>
      <c r="F121" s="5"/>
      <c r="G121" s="5"/>
      <c r="H121" s="5"/>
      <c r="I121" s="5"/>
      <c r="J121" s="5"/>
      <c r="K121" s="5"/>
    </row>
    <row r="122" spans="1:11" ht="20.100000000000001" customHeight="1" x14ac:dyDescent="0.25">
      <c r="A122" s="4">
        <v>5</v>
      </c>
      <c r="B122" s="51" t="s">
        <v>213</v>
      </c>
      <c r="C122" s="56" t="s">
        <v>25</v>
      </c>
      <c r="D122" s="48"/>
      <c r="E122" s="5"/>
      <c r="F122" s="5"/>
      <c r="G122" s="5"/>
      <c r="H122" s="5"/>
      <c r="I122" s="5"/>
      <c r="J122" s="5"/>
      <c r="K122" s="5"/>
    </row>
    <row r="123" spans="1:11" ht="20.100000000000001" customHeight="1" x14ac:dyDescent="0.25">
      <c r="A123" s="4">
        <v>6</v>
      </c>
      <c r="B123" s="51" t="s">
        <v>167</v>
      </c>
      <c r="C123" s="56" t="s">
        <v>25</v>
      </c>
      <c r="D123" s="48"/>
      <c r="E123" s="5"/>
      <c r="F123" s="5"/>
      <c r="G123" s="5"/>
      <c r="H123" s="5"/>
      <c r="I123" s="5"/>
      <c r="J123" s="5"/>
      <c r="K123" s="5"/>
    </row>
    <row r="124" spans="1:11" ht="20.100000000000001" customHeight="1" x14ac:dyDescent="0.25">
      <c r="A124" s="4">
        <v>7</v>
      </c>
      <c r="B124" s="54" t="s">
        <v>168</v>
      </c>
      <c r="C124" s="56" t="s">
        <v>39</v>
      </c>
      <c r="D124" s="48"/>
      <c r="E124" s="5"/>
      <c r="F124" s="5"/>
      <c r="G124" s="5"/>
      <c r="H124" s="5"/>
      <c r="I124" s="5"/>
      <c r="J124" s="5"/>
      <c r="K124" s="5"/>
    </row>
    <row r="125" spans="1:11" ht="20.100000000000001" customHeight="1" x14ac:dyDescent="0.25">
      <c r="A125" s="4">
        <v>8</v>
      </c>
      <c r="B125" s="51" t="s">
        <v>169</v>
      </c>
      <c r="C125" s="56" t="s">
        <v>39</v>
      </c>
      <c r="D125" s="48"/>
      <c r="E125" s="5"/>
      <c r="F125" s="5"/>
      <c r="G125" s="5"/>
      <c r="H125" s="5"/>
      <c r="I125" s="5"/>
      <c r="J125" s="5"/>
      <c r="K125" s="5"/>
    </row>
    <row r="126" spans="1:11" ht="20.100000000000001" customHeight="1" x14ac:dyDescent="0.25">
      <c r="A126" s="4">
        <v>9</v>
      </c>
      <c r="B126" s="51" t="s">
        <v>170</v>
      </c>
      <c r="C126" s="56" t="s">
        <v>25</v>
      </c>
      <c r="D126" s="48"/>
      <c r="E126" s="5"/>
      <c r="F126" s="5"/>
      <c r="G126" s="5"/>
      <c r="H126" s="5"/>
      <c r="I126" s="5"/>
      <c r="J126" s="5"/>
      <c r="K126" s="5"/>
    </row>
    <row r="127" spans="1:11" ht="20.100000000000001" customHeight="1" x14ac:dyDescent="0.25">
      <c r="A127" s="4">
        <v>10</v>
      </c>
      <c r="B127" s="51" t="s">
        <v>171</v>
      </c>
      <c r="C127" s="56" t="s">
        <v>39</v>
      </c>
      <c r="D127" s="48"/>
      <c r="E127" s="5"/>
      <c r="F127" s="5"/>
      <c r="G127" s="5"/>
      <c r="H127" s="5"/>
      <c r="I127" s="5"/>
      <c r="J127" s="5"/>
      <c r="K127" s="5"/>
    </row>
    <row r="128" spans="1:11" ht="20.100000000000001" customHeight="1" x14ac:dyDescent="0.25">
      <c r="A128" s="4">
        <v>11</v>
      </c>
      <c r="B128" s="51" t="s">
        <v>172</v>
      </c>
      <c r="C128" s="56" t="s">
        <v>27</v>
      </c>
      <c r="D128" s="48"/>
      <c r="E128" s="5"/>
      <c r="F128" s="5"/>
      <c r="G128" s="5"/>
      <c r="H128" s="5"/>
      <c r="I128" s="5"/>
      <c r="J128" s="5"/>
      <c r="K128" s="5"/>
    </row>
    <row r="129" spans="1:11" ht="20.100000000000001" customHeight="1" x14ac:dyDescent="0.25">
      <c r="A129" s="4">
        <v>12</v>
      </c>
      <c r="B129" s="28" t="s">
        <v>204</v>
      </c>
      <c r="C129" s="56" t="s">
        <v>25</v>
      </c>
      <c r="D129" s="48"/>
      <c r="E129" s="5"/>
      <c r="F129" s="5"/>
      <c r="G129" s="5"/>
      <c r="H129" s="5"/>
      <c r="I129" s="5"/>
      <c r="J129" s="5"/>
      <c r="K129" s="5"/>
    </row>
    <row r="130" spans="1:11" ht="20.100000000000001" customHeight="1" x14ac:dyDescent="0.25">
      <c r="A130" s="4">
        <v>13</v>
      </c>
      <c r="B130" s="51" t="s">
        <v>173</v>
      </c>
      <c r="C130" s="56" t="s">
        <v>37</v>
      </c>
      <c r="D130" s="48"/>
      <c r="E130" s="5"/>
      <c r="F130" s="5"/>
      <c r="G130" s="5"/>
      <c r="H130" s="5"/>
      <c r="I130" s="5"/>
      <c r="J130" s="5"/>
      <c r="K130" s="5"/>
    </row>
    <row r="131" spans="1:11" ht="20.100000000000001" customHeight="1" x14ac:dyDescent="0.25">
      <c r="A131" s="4">
        <v>14</v>
      </c>
      <c r="B131" s="51" t="s">
        <v>174</v>
      </c>
      <c r="C131" s="56" t="s">
        <v>25</v>
      </c>
      <c r="D131" s="48"/>
      <c r="E131" s="5"/>
      <c r="F131" s="5"/>
      <c r="G131" s="5"/>
      <c r="H131" s="5"/>
      <c r="I131" s="5"/>
      <c r="J131" s="5"/>
      <c r="K131" s="5"/>
    </row>
    <row r="132" spans="1:11" ht="20.100000000000001" customHeight="1" x14ac:dyDescent="0.25">
      <c r="A132" s="4">
        <v>15</v>
      </c>
      <c r="B132" s="51" t="s">
        <v>205</v>
      </c>
      <c r="C132" s="56" t="s">
        <v>25</v>
      </c>
      <c r="D132" s="48"/>
      <c r="E132" s="5"/>
      <c r="F132" s="5"/>
      <c r="G132" s="5"/>
      <c r="H132" s="5"/>
      <c r="I132" s="5"/>
      <c r="J132" s="5"/>
      <c r="K132" s="5"/>
    </row>
    <row r="133" spans="1:11" ht="20.100000000000001" customHeight="1" x14ac:dyDescent="0.25">
      <c r="A133" s="4">
        <v>16</v>
      </c>
      <c r="B133" s="54" t="s">
        <v>153</v>
      </c>
      <c r="C133" s="56" t="s">
        <v>25</v>
      </c>
      <c r="D133" s="48"/>
      <c r="E133" s="5"/>
      <c r="F133" s="5"/>
      <c r="G133" s="5"/>
      <c r="H133" s="5"/>
      <c r="I133" s="5"/>
      <c r="J133" s="5"/>
      <c r="K133" s="5"/>
    </row>
    <row r="134" spans="1:11" ht="20.100000000000001" customHeight="1" x14ac:dyDescent="0.25">
      <c r="A134" s="4">
        <v>17</v>
      </c>
      <c r="B134" s="54" t="s">
        <v>154</v>
      </c>
      <c r="C134" s="56" t="s">
        <v>25</v>
      </c>
      <c r="D134" s="48"/>
      <c r="E134" s="5"/>
      <c r="F134" s="5"/>
      <c r="G134" s="5"/>
      <c r="H134" s="5"/>
      <c r="I134" s="5"/>
      <c r="J134" s="5"/>
      <c r="K134" s="5"/>
    </row>
    <row r="135" spans="1:11" ht="20.100000000000001" customHeight="1" x14ac:dyDescent="0.25">
      <c r="A135" s="4">
        <v>18</v>
      </c>
      <c r="B135" s="51" t="s">
        <v>176</v>
      </c>
      <c r="C135" s="56" t="s">
        <v>25</v>
      </c>
      <c r="D135" s="48"/>
      <c r="E135" s="5"/>
      <c r="F135" s="5"/>
      <c r="G135" s="5"/>
      <c r="H135" s="5"/>
      <c r="I135" s="5"/>
      <c r="J135" s="5"/>
      <c r="K135" s="5"/>
    </row>
    <row r="136" spans="1:11" ht="20.100000000000001" customHeight="1" x14ac:dyDescent="0.25">
      <c r="A136" s="4">
        <v>19</v>
      </c>
      <c r="B136" s="54" t="s">
        <v>161</v>
      </c>
      <c r="C136" s="56" t="s">
        <v>25</v>
      </c>
      <c r="D136" s="48"/>
      <c r="E136" s="5"/>
      <c r="F136" s="5"/>
      <c r="G136" s="5"/>
      <c r="H136" s="5"/>
      <c r="I136" s="5"/>
      <c r="J136" s="5"/>
      <c r="K136" s="5"/>
    </row>
    <row r="137" spans="1:11" ht="20.100000000000001" customHeight="1" x14ac:dyDescent="0.25">
      <c r="A137" s="4">
        <v>20</v>
      </c>
      <c r="B137" s="51" t="s">
        <v>206</v>
      </c>
      <c r="C137" s="56" t="s">
        <v>25</v>
      </c>
      <c r="D137" s="48"/>
      <c r="E137" s="5"/>
      <c r="F137" s="5"/>
      <c r="G137" s="5"/>
      <c r="H137" s="5"/>
      <c r="I137" s="5"/>
      <c r="J137" s="5"/>
      <c r="K137" s="5"/>
    </row>
    <row r="138" spans="1:11" ht="20.100000000000001" customHeight="1" x14ac:dyDescent="0.25">
      <c r="A138" s="4">
        <v>21</v>
      </c>
      <c r="B138" s="51" t="s">
        <v>178</v>
      </c>
      <c r="C138" s="56" t="s">
        <v>108</v>
      </c>
      <c r="D138" s="48"/>
      <c r="E138" s="5"/>
      <c r="F138" s="5"/>
      <c r="G138" s="5"/>
      <c r="H138" s="5"/>
      <c r="I138" s="5"/>
      <c r="J138" s="5"/>
      <c r="K138" s="5"/>
    </row>
    <row r="139" spans="1:11" ht="20.100000000000001" customHeight="1" x14ac:dyDescent="0.25">
      <c r="A139" s="4">
        <v>22</v>
      </c>
      <c r="B139" s="51" t="s">
        <v>179</v>
      </c>
      <c r="C139" s="56" t="s">
        <v>180</v>
      </c>
      <c r="D139" s="48"/>
      <c r="E139" s="5"/>
      <c r="F139" s="5"/>
      <c r="G139" s="5"/>
      <c r="H139" s="5"/>
      <c r="I139" s="5"/>
      <c r="J139" s="5"/>
      <c r="K139" s="5"/>
    </row>
    <row r="140" spans="1:11" ht="20.100000000000001" customHeight="1" x14ac:dyDescent="0.25">
      <c r="A140" s="4">
        <v>23</v>
      </c>
      <c r="B140" s="54" t="s">
        <v>181</v>
      </c>
      <c r="C140" s="56" t="s">
        <v>180</v>
      </c>
      <c r="D140" s="48"/>
      <c r="E140" s="5"/>
      <c r="F140" s="5"/>
      <c r="G140" s="5"/>
      <c r="H140" s="5"/>
      <c r="I140" s="5"/>
      <c r="J140" s="5"/>
      <c r="K140" s="5"/>
    </row>
    <row r="141" spans="1:11" ht="20.100000000000001" customHeight="1" x14ac:dyDescent="0.25">
      <c r="A141" s="4">
        <v>24</v>
      </c>
      <c r="B141" s="54" t="s">
        <v>182</v>
      </c>
      <c r="C141" s="56" t="s">
        <v>39</v>
      </c>
      <c r="D141" s="48"/>
      <c r="E141" s="5"/>
      <c r="F141" s="5"/>
      <c r="G141" s="5"/>
      <c r="H141" s="5"/>
      <c r="I141" s="5"/>
      <c r="J141" s="5"/>
      <c r="K141" s="5"/>
    </row>
    <row r="142" spans="1:11" ht="20.100000000000001" customHeight="1" x14ac:dyDescent="0.25">
      <c r="A142" s="4">
        <v>25</v>
      </c>
      <c r="B142" s="51" t="s">
        <v>183</v>
      </c>
      <c r="C142" s="56" t="s">
        <v>39</v>
      </c>
      <c r="D142" s="48"/>
      <c r="E142" s="5"/>
      <c r="F142" s="5"/>
      <c r="G142" s="5"/>
      <c r="H142" s="5"/>
      <c r="I142" s="5"/>
      <c r="J142" s="5"/>
      <c r="K142" s="5"/>
    </row>
    <row r="143" spans="1:11" ht="20.100000000000001" customHeight="1" x14ac:dyDescent="0.25">
      <c r="A143" s="4">
        <v>26</v>
      </c>
      <c r="B143" s="54" t="s">
        <v>184</v>
      </c>
      <c r="C143" s="56" t="s">
        <v>25</v>
      </c>
      <c r="D143" s="48"/>
      <c r="E143" s="5"/>
      <c r="F143" s="5"/>
      <c r="G143" s="5"/>
      <c r="H143" s="5"/>
      <c r="I143" s="5"/>
      <c r="J143" s="5"/>
      <c r="K143" s="5"/>
    </row>
    <row r="144" spans="1:11" ht="20.100000000000001" customHeight="1" x14ac:dyDescent="0.25">
      <c r="A144" s="4">
        <v>27</v>
      </c>
      <c r="B144" s="51" t="s">
        <v>220</v>
      </c>
      <c r="C144" s="56" t="s">
        <v>39</v>
      </c>
      <c r="D144" s="48"/>
      <c r="E144" s="5"/>
      <c r="F144" s="5"/>
      <c r="G144" s="5"/>
      <c r="H144" s="5"/>
      <c r="I144" s="5"/>
      <c r="J144" s="5"/>
      <c r="K144" s="5"/>
    </row>
    <row r="145" spans="1:22" ht="20.100000000000001" customHeight="1" x14ac:dyDescent="0.25">
      <c r="A145" s="4">
        <v>28</v>
      </c>
      <c r="B145" s="54" t="s">
        <v>185</v>
      </c>
      <c r="C145" s="56" t="s">
        <v>39</v>
      </c>
      <c r="D145" s="48"/>
      <c r="E145" s="5"/>
      <c r="F145" s="5"/>
      <c r="G145" s="5"/>
      <c r="H145" s="5"/>
      <c r="I145" s="5"/>
      <c r="J145" s="5"/>
      <c r="K145" s="5"/>
    </row>
    <row r="146" spans="1:22" ht="20.100000000000001" customHeight="1" x14ac:dyDescent="0.25">
      <c r="A146" s="4">
        <v>29</v>
      </c>
      <c r="B146" s="54" t="s">
        <v>133</v>
      </c>
      <c r="C146" s="56" t="s">
        <v>25</v>
      </c>
      <c r="D146" s="5"/>
      <c r="E146" s="5"/>
      <c r="F146" s="5"/>
      <c r="G146" s="5"/>
      <c r="H146" s="5"/>
      <c r="I146" s="5"/>
      <c r="J146" s="5"/>
      <c r="K146" s="5"/>
    </row>
    <row r="147" spans="1:22" ht="20.100000000000001" customHeight="1" x14ac:dyDescent="0.25">
      <c r="A147" s="7"/>
      <c r="B147" s="28"/>
      <c r="C147" s="44"/>
      <c r="D147" s="5"/>
      <c r="E147" s="5"/>
      <c r="F147" s="5"/>
      <c r="G147" s="5"/>
      <c r="H147" s="5"/>
      <c r="I147" s="5"/>
      <c r="J147" s="5"/>
      <c r="K147" s="5"/>
    </row>
    <row r="148" spans="1:22" x14ac:dyDescent="0.25">
      <c r="A148" s="40"/>
      <c r="B148" s="27"/>
      <c r="C148" s="18"/>
      <c r="D148" s="9"/>
      <c r="E148" s="9"/>
      <c r="F148" s="9"/>
      <c r="G148" s="9"/>
      <c r="H148" s="9"/>
      <c r="I148" s="9"/>
      <c r="J148" s="9"/>
      <c r="K148" s="9"/>
      <c r="T148" s="25"/>
      <c r="U148" s="24"/>
      <c r="V148" s="24"/>
    </row>
    <row r="149" spans="1:22" x14ac:dyDescent="0.25">
      <c r="A149" s="58" t="s">
        <v>14</v>
      </c>
      <c r="B149" s="1" t="s">
        <v>7</v>
      </c>
      <c r="F149" s="20" t="s">
        <v>234</v>
      </c>
      <c r="T149" s="49"/>
      <c r="U149" s="50"/>
      <c r="V149" s="50"/>
    </row>
    <row r="150" spans="1:22" x14ac:dyDescent="0.25">
      <c r="A150" s="58" t="s">
        <v>11</v>
      </c>
      <c r="B150" s="8" t="s">
        <v>8</v>
      </c>
      <c r="F150" s="20" t="s">
        <v>227</v>
      </c>
      <c r="T150" s="25"/>
      <c r="U150" s="24"/>
      <c r="V150" s="24"/>
    </row>
    <row r="151" spans="1:22" x14ac:dyDescent="0.25">
      <c r="A151" s="58" t="s">
        <v>186</v>
      </c>
      <c r="B151" s="8"/>
      <c r="F151" s="9"/>
      <c r="T151" s="49"/>
      <c r="U151" s="50"/>
      <c r="V151" s="50"/>
    </row>
    <row r="152" spans="1:22" x14ac:dyDescent="0.25">
      <c r="A152" s="46"/>
      <c r="B152" s="8"/>
      <c r="F152" s="9"/>
    </row>
    <row r="153" spans="1:22" x14ac:dyDescent="0.25">
      <c r="A153" s="46"/>
      <c r="B153" s="8"/>
      <c r="F153" s="9"/>
      <c r="N153" s="32" t="s">
        <v>4</v>
      </c>
      <c r="O153" s="32" t="s">
        <v>10</v>
      </c>
      <c r="P153" s="32" t="s">
        <v>11</v>
      </c>
      <c r="Q153" s="32" t="s">
        <v>12</v>
      </c>
      <c r="R153" s="32" t="s">
        <v>15</v>
      </c>
      <c r="S153" s="32" t="s">
        <v>13</v>
      </c>
    </row>
    <row r="154" spans="1:22" x14ac:dyDescent="0.25">
      <c r="B154" s="8" t="s">
        <v>24</v>
      </c>
      <c r="D154" s="8"/>
      <c r="F154" s="29" t="s">
        <v>233</v>
      </c>
      <c r="N154" s="33" t="s">
        <v>14</v>
      </c>
      <c r="O154" s="33">
        <v>17</v>
      </c>
      <c r="P154" s="33">
        <v>7</v>
      </c>
      <c r="Q154" s="33">
        <v>2</v>
      </c>
      <c r="R154" s="33">
        <v>1</v>
      </c>
      <c r="S154" s="33">
        <f>SUM(O154:R154)</f>
        <v>27</v>
      </c>
    </row>
    <row r="155" spans="1:22" x14ac:dyDescent="0.25">
      <c r="N155" s="33" t="s">
        <v>11</v>
      </c>
      <c r="O155" s="33">
        <v>1</v>
      </c>
      <c r="P155" s="33">
        <v>1</v>
      </c>
      <c r="Q155" s="33"/>
      <c r="R155" s="33"/>
      <c r="S155" s="33">
        <f>SUM(O155:Q155)</f>
        <v>2</v>
      </c>
    </row>
    <row r="156" spans="1:22" x14ac:dyDescent="0.25">
      <c r="N156" s="34" t="s">
        <v>13</v>
      </c>
      <c r="O156" s="34">
        <f>SUM(O154:O155)</f>
        <v>18</v>
      </c>
      <c r="P156" s="34">
        <f t="shared" ref="P156:Q156" si="2">SUM(P154:P155)</f>
        <v>8</v>
      </c>
      <c r="Q156" s="34">
        <f t="shared" si="2"/>
        <v>2</v>
      </c>
      <c r="R156" s="34"/>
      <c r="S156" s="34">
        <f t="shared" ref="S156" si="3">SUM(S154:S155)</f>
        <v>29</v>
      </c>
    </row>
    <row r="159" spans="1:22" x14ac:dyDescent="0.25">
      <c r="N159" s="3">
        <v>28</v>
      </c>
      <c r="T159" s="3" t="s">
        <v>22</v>
      </c>
    </row>
    <row r="160" spans="1:22" x14ac:dyDescent="0.25">
      <c r="N160" s="3">
        <v>30</v>
      </c>
      <c r="T160" s="31" t="s">
        <v>23</v>
      </c>
      <c r="U160" s="36">
        <v>58</v>
      </c>
    </row>
    <row r="161" spans="14:21" x14ac:dyDescent="0.25">
      <c r="N161" s="16">
        <v>29</v>
      </c>
      <c r="T161" s="31" t="s">
        <v>16</v>
      </c>
      <c r="U161" s="36">
        <v>55</v>
      </c>
    </row>
    <row r="162" spans="14:21" x14ac:dyDescent="0.25">
      <c r="N162" s="3">
        <f>SUM(N159:N161)</f>
        <v>87</v>
      </c>
      <c r="T162" s="31" t="s">
        <v>17</v>
      </c>
      <c r="U162" s="36">
        <v>87</v>
      </c>
    </row>
    <row r="163" spans="14:21" x14ac:dyDescent="0.25">
      <c r="U163" s="37">
        <f>SUM(U160:U162)</f>
        <v>200</v>
      </c>
    </row>
  </sheetData>
  <sortState ref="B63:C93">
    <sortCondition ref="B62"/>
  </sortState>
  <mergeCells count="21">
    <mergeCell ref="A1:K1"/>
    <mergeCell ref="A2:K2"/>
    <mergeCell ref="A3:K3"/>
    <mergeCell ref="A5:A6"/>
    <mergeCell ref="B5:B6"/>
    <mergeCell ref="C5:C6"/>
    <mergeCell ref="D5:K5"/>
    <mergeCell ref="A112:K112"/>
    <mergeCell ref="A57:K57"/>
    <mergeCell ref="A58:K58"/>
    <mergeCell ref="A59:K59"/>
    <mergeCell ref="A61:A62"/>
    <mergeCell ref="B61:B62"/>
    <mergeCell ref="C61:C62"/>
    <mergeCell ref="D61:K61"/>
    <mergeCell ref="A113:K113"/>
    <mergeCell ref="A114:K114"/>
    <mergeCell ref="A116:A117"/>
    <mergeCell ref="B116:B117"/>
    <mergeCell ref="C116:C117"/>
    <mergeCell ref="D116:K116"/>
  </mergeCells>
  <conditionalFormatting sqref="B85 B20 B88">
    <cfRule type="duplicateValues" dxfId="3" priority="3"/>
  </conditionalFormatting>
  <conditionalFormatting sqref="B29 B31:B32">
    <cfRule type="duplicateValues" dxfId="2" priority="7"/>
  </conditionalFormatting>
  <conditionalFormatting sqref="B27">
    <cfRule type="duplicateValues" dxfId="1" priority="2"/>
  </conditionalFormatting>
  <conditionalFormatting sqref="B140 B143">
    <cfRule type="duplicateValues" dxfId="0" priority="1"/>
  </conditionalFormatting>
  <pageMargins left="0.54" right="0.47" top="0.35" bottom="0.53" header="0.3" footer="0.3"/>
  <pageSetup paperSize="5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MPLB</vt:lpstr>
      <vt:lpstr>AKL</vt:lpstr>
      <vt:lpstr>TKJ </vt:lpstr>
      <vt:lpstr>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SMK</dc:creator>
  <cp:lastModifiedBy>admin</cp:lastModifiedBy>
  <cp:lastPrinted>2025-07-23T08:03:15Z</cp:lastPrinted>
  <dcterms:created xsi:type="dcterms:W3CDTF">2015-07-23T08:08:25Z</dcterms:created>
  <dcterms:modified xsi:type="dcterms:W3CDTF">2025-12-15T07:55:51Z</dcterms:modified>
</cp:coreProperties>
</file>